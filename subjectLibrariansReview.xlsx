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Guide subjects" sheetId="1" r:id="rId5"/>
    <sheet state="visible" name="LibGuides Librarians" sheetId="2" r:id="rId6"/>
    <sheet state="visible" name="Primo by Librarian" sheetId="3" r:id="rId7"/>
    <sheet state="visible" name="Primo by Subject (Derived from " sheetId="4" r:id="rId8"/>
  </sheets>
  <definedNames/>
  <calcPr/>
</workbook>
</file>

<file path=xl/sharedStrings.xml><?xml version="1.0" encoding="utf-8"?>
<sst xmlns="http://schemas.openxmlformats.org/spreadsheetml/2006/main" count="2703" uniqueCount="1850">
  <si>
    <t>name</t>
  </si>
  <si>
    <t xml:space="preserve">  </t>
  </si>
  <si>
    <t>active</t>
  </si>
  <si>
    <t>Subject</t>
  </si>
  <si>
    <t>subjects</t>
  </si>
  <si>
    <t>Katie Gibson</t>
  </si>
  <si>
    <t>Area Studies;Asian Studies;Asian-American Studies;Black World Studies;French;German;Global and Intercultural Studies;International Studies;Italian;Languages;Latin American Studies;Middle East and Islamic Studies;Russian, Eastern European, and Eurasian Studies;Spanish and Portuguese;Western (Individualized Studies)</t>
  </si>
  <si>
    <t>Jenny Presnell</t>
  </si>
  <si>
    <t>libguides subjects</t>
  </si>
  <si>
    <t>American Studies;Global and Intercultural Studies;Government and Law;History;Political Science;Women's Gender and Sexuality Studies</t>
  </si>
  <si>
    <t>librarians</t>
  </si>
  <si>
    <t>majorCodes</t>
  </si>
  <si>
    <t>Rob O'Brien Withers</t>
  </si>
  <si>
    <t>Librarians</t>
  </si>
  <si>
    <t>Classics;Comparative Religion;Languages;Philosophy;Religion</t>
  </si>
  <si>
    <t>deptCodes</t>
  </si>
  <si>
    <t>key</t>
  </si>
  <si>
    <t>regCodes</t>
  </si>
  <si>
    <t>Barry Zaslow</t>
  </si>
  <si>
    <t>Music</t>
  </si>
  <si>
    <t>notes</t>
  </si>
  <si>
    <t>John Burke</t>
  </si>
  <si>
    <t>Commerce;Community Arts;Information Technology</t>
  </si>
  <si>
    <t>tags</t>
  </si>
  <si>
    <t>Mark Shores</t>
  </si>
  <si>
    <t>Appalachian Studies;Applied Social Research;Health Information Technology;Information Technology;Integrative Studies</t>
  </si>
  <si>
    <t>Krista McDonald</t>
  </si>
  <si>
    <t>Civic and Regional Development;Community Arts;Engineering Technology;Liberal Studies;Nursing;Psychological Science</t>
  </si>
  <si>
    <t>Laura Birkenhauer</t>
  </si>
  <si>
    <t>person.Abigail_Morgan</t>
  </si>
  <si>
    <t>Military Studies</t>
  </si>
  <si>
    <t>Abigail Morgan</t>
  </si>
  <si>
    <t>Nate Floyd</t>
  </si>
  <si>
    <t>marketing;anthropology;economics;education;business;teacher education;management;juvenile literature;accountancy;entrepreneurship;business legal studies;finance;</t>
  </si>
  <si>
    <t>Academic Affairs</t>
  </si>
  <si>
    <t>Global and Intercultural Studies;Interactive Media Studies;Sports Leadership and Management</t>
  </si>
  <si>
    <t>Educational Leadership</t>
  </si>
  <si>
    <t>Jaclyn Spraetz</t>
  </si>
  <si>
    <t>Type</t>
  </si>
  <si>
    <t>Carla Myers</t>
  </si>
  <si>
    <t>AA</t>
  </si>
  <si>
    <t>Scholarly Communication</t>
  </si>
  <si>
    <t>Display name</t>
  </si>
  <si>
    <t>Accountancy</t>
  </si>
  <si>
    <t>Description</t>
  </si>
  <si>
    <t>Erica Freed</t>
  </si>
  <si>
    <t>Anthropology;Business;Business Legal Studies;Education;Entrepreneurship;Marketing</t>
  </si>
  <si>
    <t>BU01</t>
  </si>
  <si>
    <t>acc</t>
  </si>
  <si>
    <t>Ginny Boehme</t>
  </si>
  <si>
    <t>person.Alia_Wegner</t>
  </si>
  <si>
    <t>ACC</t>
  </si>
  <si>
    <t>Biology;Environmental Sciences;Kinesiology, Nutrition, and Health;Microbiology;Neuroscience;Nursing;Public Health</t>
  </si>
  <si>
    <t>Alia Wegner</t>
  </si>
  <si>
    <t>archives;special collections;</t>
  </si>
  <si>
    <t>Accountancy - HC</t>
  </si>
  <si>
    <t>Stefanie Hilles</t>
  </si>
  <si>
    <t>hac</t>
  </si>
  <si>
    <t>Accountancy - MC</t>
  </si>
  <si>
    <t>Art and Architecture;Fashion;Graphic Design;Theatre</t>
  </si>
  <si>
    <t>mac</t>
  </si>
  <si>
    <t>Mark Dahlquist</t>
  </si>
  <si>
    <t>Accounting Technology</t>
  </si>
  <si>
    <t>English;Media, Journalism, and Film;Strategic Communication</t>
  </si>
  <si>
    <t>Disability Studies;Educational Leadership;Educational Psychology</t>
  </si>
  <si>
    <t>Kristen Adams</t>
  </si>
  <si>
    <t>Chemical, Paper, and Biomedical Engineering;Chemistry and Biochemistry;Engineering;Geography;Geology;Mechanical and Manufacturing Engineering;Physics</t>
  </si>
  <si>
    <t>Suggested database</t>
  </si>
  <si>
    <t>BUKA; RCKA; BU8C</t>
  </si>
  <si>
    <t>Jennifer Hicks</t>
  </si>
  <si>
    <t>A collection of data organized to optimize search and retrieval of information, typically focused on a specific topic or research area.</t>
  </si>
  <si>
    <t>Applied Biology;Criminal Justice;Health Communication;Liberal Studies;Psychological Science</t>
  </si>
  <si>
    <t>Accounts Payable</t>
  </si>
  <si>
    <t>Educational Leadership; Accountancy</t>
  </si>
  <si>
    <t>Megan Jaskowiak</t>
  </si>
  <si>
    <t>Jaclyn Spraetz; Erica Freed</t>
  </si>
  <si>
    <t>acp</t>
  </si>
  <si>
    <t>Criminology;Family Science and Social Work;Gerontology;Neuroscience;Physician Associate Studies;Psychology;Public Health;Social Work;Sociology;Speech Pathology and Audiology</t>
  </si>
  <si>
    <t>person.Andy_Revelle</t>
  </si>
  <si>
    <t>Roger Justus</t>
  </si>
  <si>
    <t>Andy Revelle</t>
  </si>
  <si>
    <t>Admission &amp; Financial Aid</t>
  </si>
  <si>
    <t>Computer Science and Engineering;Electrical Engineering;Engineering;Information Systems and Analytics;Mathematics;Statistics</t>
  </si>
  <si>
    <t>instructional technologies;sports management;sports leadership;</t>
  </si>
  <si>
    <t>had</t>
  </si>
  <si>
    <t>Accountancy;Business;Economics;Entrepreneurship;Finance;Management;Marketing</t>
  </si>
  <si>
    <t>Library guide</t>
  </si>
  <si>
    <t>Admission &amp; Financial Aid - MC</t>
  </si>
  <si>
    <t>A subject guide, course guide, information portal, or a set of research help pages created by the library to help library users.</t>
  </si>
  <si>
    <t>maf</t>
  </si>
  <si>
    <t>Adolescent Education</t>
  </si>
  <si>
    <t>Education</t>
  </si>
  <si>
    <t>person.Barry_Zaslow</t>
  </si>
  <si>
    <t>EA18</t>
  </si>
  <si>
    <t>Adolescent Mathematics Edu</t>
  </si>
  <si>
    <t>music;</t>
  </si>
  <si>
    <t>EAME</t>
  </si>
  <si>
    <t>Suggested Website</t>
  </si>
  <si>
    <t>A group of World Wide Web pages, made available online by an individual, organization, educational institution or government.</t>
  </si>
  <si>
    <t>Adult TESOL</t>
  </si>
  <si>
    <t>Languages</t>
  </si>
  <si>
    <t>Katie Gibson; Rob O'Brien Withers</t>
  </si>
  <si>
    <t>C002</t>
  </si>
  <si>
    <t>person.Brea_McQueen</t>
  </si>
  <si>
    <t>Brea McQueen</t>
  </si>
  <si>
    <t>Adv Manufacturing &amp; Mater Eval</t>
  </si>
  <si>
    <t>Engineering</t>
  </si>
  <si>
    <t>women’s studies;literature;black world studies;music;applied social research;theater;family science;latin american studies;language;philosophy;social work;religion;</t>
  </si>
  <si>
    <t>Kristen Adams; Roger Justus</t>
  </si>
  <si>
    <t>AP5C; C027</t>
  </si>
  <si>
    <t>&lt;===</t>
  </si>
  <si>
    <t>Advanced Business Analytics</t>
  </si>
  <si>
    <t>Business; Information Systems and Analytics</t>
  </si>
  <si>
    <t>Abigail Morgan; Erica Freed; Roger Justus</t>
  </si>
  <si>
    <t>C022</t>
  </si>
  <si>
    <t>Advanced Studio Art</t>
  </si>
  <si>
    <t>Art and Architecture</t>
  </si>
  <si>
    <t>C003</t>
  </si>
  <si>
    <t>Advancement Services</t>
  </si>
  <si>
    <t>Strategic Communication</t>
  </si>
  <si>
    <t>MUL Librarian Specialist</t>
  </si>
  <si>
    <t>adv</t>
  </si>
  <si>
    <t>A reference desk person, subject specialist or librarian able to assist users in specific subject areas.</t>
  </si>
  <si>
    <t>Aeronautics</t>
  </si>
  <si>
    <t>A02; AS02</t>
  </si>
  <si>
    <t>person.Ginny_Boehme</t>
  </si>
  <si>
    <t>AER</t>
  </si>
  <si>
    <t>kinesiology, nutrition, and health;biology;neuroscience;microbiology;environmental sciences;nursing;</t>
  </si>
  <si>
    <t>Aeronautics-Mathematics</t>
  </si>
  <si>
    <t>Mathematics; Engineering</t>
  </si>
  <si>
    <t>Roger Justus; Kristen Adams</t>
  </si>
  <si>
    <t>Library information</t>
  </si>
  <si>
    <t>A58; AS58</t>
  </si>
  <si>
    <t>Information about a library, including its opening hours and location.</t>
  </si>
  <si>
    <t>Aerospace Education</t>
  </si>
  <si>
    <t>Engineering; Military Studies</t>
  </si>
  <si>
    <t>person.Jaclyn_Spraetz</t>
  </si>
  <si>
    <t>Kristen Adams; Roger Justus; Laura Birkenhauer</t>
  </si>
  <si>
    <t>E10</t>
  </si>
  <si>
    <t>educational leadership;education;educational policy;disability studies;</t>
  </si>
  <si>
    <t>Custom resource</t>
  </si>
  <si>
    <t>Aerospace Studies</t>
  </si>
  <si>
    <t>This type can be customized to fit a local resource type.</t>
  </si>
  <si>
    <t>person.Jenny_Presnell</t>
  </si>
  <si>
    <t>aes</t>
  </si>
  <si>
    <t>AES</t>
  </si>
  <si>
    <t>african-american history;sexuality studies;law;gender studies;history;african-american studies;women's studies;genealogy;political science;government information;legal studies;american studies;</t>
  </si>
  <si>
    <t>Alumni Relations</t>
  </si>
  <si>
    <t>ura</t>
  </si>
  <si>
    <t>American &amp; World Cultures</t>
  </si>
  <si>
    <t>Area Studies</t>
  </si>
  <si>
    <t>person.John_Burke</t>
  </si>
  <si>
    <t>caw</t>
  </si>
  <si>
    <t>IDS</t>
  </si>
  <si>
    <t>biology;english;commerce;middletown library;</t>
  </si>
  <si>
    <t>American Culture and English Program</t>
  </si>
  <si>
    <t>ACE</t>
  </si>
  <si>
    <t>ace</t>
  </si>
  <si>
    <t>person.Katie_Gibson</t>
  </si>
  <si>
    <t>American Studies</t>
  </si>
  <si>
    <t>AS12</t>
  </si>
  <si>
    <t>german;spanish;black world studies;asian-american studies;italian;international studies;individualized studies;middle eastern studies;humanities;western program;asian studies;latin american studies;portuguese;french;islamic studies;</t>
  </si>
  <si>
    <t>ams</t>
  </si>
  <si>
    <t>AMS</t>
  </si>
  <si>
    <t>Banner</t>
  </si>
  <si>
    <t>Analytics</t>
  </si>
  <si>
    <t>Statistics; Information Systems and Analytics; Geography</t>
  </si>
  <si>
    <t>This type can be used for marketing, raise awareness or share with the users any information on top of their results.</t>
  </si>
  <si>
    <t>APAN; C021; EAAN; RCAN; FAAN; BUAN; ASAN</t>
  </si>
  <si>
    <t>Analytics for Professionals</t>
  </si>
  <si>
    <t>person.Krista_McDonald</t>
  </si>
  <si>
    <t>C001</t>
  </si>
  <si>
    <t>anthropology;art;education;library science;mathematics;hamilton library;recreation;sociology;nonprofit and community studies;nursing;engineering;community arts;civic and regional development;liberal studies;physical sciences;psychology;geography;children’s literature;visual arts;life sciences;</t>
  </si>
  <si>
    <t>Anthropology</t>
  </si>
  <si>
    <t>Anthropology; Appalachian Studies</t>
  </si>
  <si>
    <t>Abigail Morgan; Mark Shores</t>
  </si>
  <si>
    <t>AS06</t>
  </si>
  <si>
    <t>ant</t>
  </si>
  <si>
    <t>ATH</t>
  </si>
  <si>
    <t>Anthropology - HC</t>
  </si>
  <si>
    <t>han</t>
  </si>
  <si>
    <t>Anthropology - MC</t>
  </si>
  <si>
    <t>man</t>
  </si>
  <si>
    <t>person.Kristen_Adams</t>
  </si>
  <si>
    <t>Applied Biology</t>
  </si>
  <si>
    <t>Biology</t>
  </si>
  <si>
    <t>chemistry;paper engineering;mechanical engineering;biomedical engineering;geography;biochemistry;physics;geology;chemical engineering;manufacturing engineering;</t>
  </si>
  <si>
    <t>RCAB</t>
  </si>
  <si>
    <t>Applied Communication</t>
  </si>
  <si>
    <t>APC</t>
  </si>
  <si>
    <t>person.Laura_Birkenhauer</t>
  </si>
  <si>
    <t>Applied Mathematics</t>
  </si>
  <si>
    <t>Mathematics</t>
  </si>
  <si>
    <t>military studies;</t>
  </si>
  <si>
    <t>ASAP</t>
  </si>
  <si>
    <t>Applied Science - AA</t>
  </si>
  <si>
    <t>person.Mark_Dahlquist</t>
  </si>
  <si>
    <t>APZ1</t>
  </si>
  <si>
    <t>Applied Social Research</t>
  </si>
  <si>
    <t>creative writing;composition;digital humanities;english;media;film;rhetoric;journalism;</t>
  </si>
  <si>
    <t>RCSR</t>
  </si>
  <si>
    <t>apr</t>
  </si>
  <si>
    <t>ASO</t>
  </si>
  <si>
    <t>person.Mark_Shores</t>
  </si>
  <si>
    <t>Applied Statistics</t>
  </si>
  <si>
    <t>Statistics</t>
  </si>
  <si>
    <t>law;business;forensic science;health information technology;history;political science;marketing;computer science;english studies;appalachian studies;health communication;management;forensic investigation;integrative studies;communication;criminal justice;finance;</t>
  </si>
  <si>
    <t>C004</t>
  </si>
  <si>
    <t>Arabic</t>
  </si>
  <si>
    <t>person.Megan_Jaskowiak</t>
  </si>
  <si>
    <t>ARB</t>
  </si>
  <si>
    <t>Architecture</t>
  </si>
  <si>
    <t>FANC</t>
  </si>
  <si>
    <t>Architecture and Interior Design</t>
  </si>
  <si>
    <t>psychology;criminology;sociology;audiology;medicine;family science and social work;gerontology;physician associate studies;speech pathology;</t>
  </si>
  <si>
    <t>arc</t>
  </si>
  <si>
    <t>ARC</t>
  </si>
  <si>
    <t>Armstrong Student Center</t>
  </si>
  <si>
    <t>person.Nate_Floyd</t>
  </si>
  <si>
    <t>asc</t>
  </si>
  <si>
    <t>interactive media studies;global studies;intercultural studies;emerging technologies in business and design;sports management;sports leadership;etbd;ims;</t>
  </si>
  <si>
    <t>Art &amp; Architecture</t>
  </si>
  <si>
    <t>FA03</t>
  </si>
  <si>
    <t>person.Rob_Withers</t>
  </si>
  <si>
    <t>Art</t>
  </si>
  <si>
    <t>greek;classics;religious studies;latin;philosophy;religion;</t>
  </si>
  <si>
    <t>art</t>
  </si>
  <si>
    <t>ART</t>
  </si>
  <si>
    <t>person.Roger_Justus</t>
  </si>
  <si>
    <t>Art - HC</t>
  </si>
  <si>
    <t>har</t>
  </si>
  <si>
    <t>analytics;data services;data analytics;computer science;mathematics;electrical engineering;software engineering;information systems;computer engineering;statistics;</t>
  </si>
  <si>
    <t>Art - MC</t>
  </si>
  <si>
    <t>mar</t>
  </si>
  <si>
    <t>Art Center</t>
  </si>
  <si>
    <t>person.Sarah_Nagle</t>
  </si>
  <si>
    <t>atc</t>
  </si>
  <si>
    <t>Sarah Nagle</t>
  </si>
  <si>
    <t>innovation;makerspace;design thinking;</t>
  </si>
  <si>
    <t>Art Education</t>
  </si>
  <si>
    <t>Art and Architecture; Education</t>
  </si>
  <si>
    <t>Stefanie Hilles; Abigail Morgan</t>
  </si>
  <si>
    <t>FA04</t>
  </si>
  <si>
    <t>person.Stefanie_Hilles</t>
  </si>
  <si>
    <t>Art Museum</t>
  </si>
  <si>
    <t>art education;art;arts management;interior design;theater;architecture;</t>
  </si>
  <si>
    <t>amu</t>
  </si>
  <si>
    <t>Art Therapy</t>
  </si>
  <si>
    <t>Psychology; Art and Architecture</t>
  </si>
  <si>
    <t>Megan Jaskowiak; Stefanie Hilles</t>
  </si>
  <si>
    <t>AP53; EA53; RC53; FA53; BU53; AS53</t>
  </si>
  <si>
    <t>Art and Architecture History</t>
  </si>
  <si>
    <t>FAAA; ASLR; FALR</t>
  </si>
  <si>
    <t>Art with Certification</t>
  </si>
  <si>
    <t>FLC</t>
  </si>
  <si>
    <t>Art/Arch Library</t>
  </si>
  <si>
    <t>Art and Architecture; Library</t>
  </si>
  <si>
    <t>ula</t>
  </si>
  <si>
    <t>Arts Management</t>
  </si>
  <si>
    <t>Business</t>
  </si>
  <si>
    <t>Abigail Morgan; Erica Freed</t>
  </si>
  <si>
    <t>APAM; EAAM; RCAM; FKC; FAAM; BUAM; ASAM</t>
  </si>
  <si>
    <t>Arts Management &amp; Arts Entrepr</t>
  </si>
  <si>
    <t>FAME</t>
  </si>
  <si>
    <t>Arts and Science</t>
  </si>
  <si>
    <t>cas</t>
  </si>
  <si>
    <t>CAS</t>
  </si>
  <si>
    <t>Asian/Asian American Studies</t>
  </si>
  <si>
    <t>Asian Studies; Asian-American Studies; American Studies</t>
  </si>
  <si>
    <t>Katie Gibson; Jenny Presnell</t>
  </si>
  <si>
    <t>aaa</t>
  </si>
  <si>
    <t>AAA</t>
  </si>
  <si>
    <t>Assessment and Evaluation</t>
  </si>
  <si>
    <t>Education; Psychology</t>
  </si>
  <si>
    <t>Abigail Morgan; Megan Jaskowiak</t>
  </si>
  <si>
    <t>C005</t>
  </si>
  <si>
    <t>Assist VP Student Leadership</t>
  </si>
  <si>
    <t>sld</t>
  </si>
  <si>
    <t>Assoc VP &amp; Dean of Students</t>
  </si>
  <si>
    <t>dos</t>
  </si>
  <si>
    <t>Athletic Training</t>
  </si>
  <si>
    <t>Kinesiology, Nutrition, and Health</t>
  </si>
  <si>
    <t>EALH</t>
  </si>
  <si>
    <t>Autism Spectrum Disorders</t>
  </si>
  <si>
    <t>Psychology</t>
  </si>
  <si>
    <t>C006; EA3C</t>
  </si>
  <si>
    <t>Automotive Technology</t>
  </si>
  <si>
    <t>3LE</t>
  </si>
  <si>
    <t>Aviation Services</t>
  </si>
  <si>
    <t>bsv</t>
  </si>
  <si>
    <t>B.E.S.T. Library</t>
  </si>
  <si>
    <t>uls</t>
  </si>
  <si>
    <t>Banking</t>
  </si>
  <si>
    <t>Finance</t>
  </si>
  <si>
    <t>BU2C</t>
  </si>
  <si>
    <t>Banking &amp; Finance Technology</t>
  </si>
  <si>
    <t>BKJ</t>
  </si>
  <si>
    <t>Biochemistry</t>
  </si>
  <si>
    <t>Chemistry and Biochemistry; Biology</t>
  </si>
  <si>
    <t>Kristen Adams; Ginny Boehme</t>
  </si>
  <si>
    <t>ASBC</t>
  </si>
  <si>
    <t>Bioengineering</t>
  </si>
  <si>
    <t>Biology; Engineering</t>
  </si>
  <si>
    <t>Ginny Boehme; Kristen Adams; Roger Justus</t>
  </si>
  <si>
    <t>APBE</t>
  </si>
  <si>
    <t>Biological Physics</t>
  </si>
  <si>
    <t>Biology; Physics</t>
  </si>
  <si>
    <t>Ginny Boehme; Kristen Adams</t>
  </si>
  <si>
    <t>ASBP</t>
  </si>
  <si>
    <t>Biological Sciences</t>
  </si>
  <si>
    <t>AS46; EA46</t>
  </si>
  <si>
    <t>rbsc</t>
  </si>
  <si>
    <t>BSC</t>
  </si>
  <si>
    <t>ASBI</t>
  </si>
  <si>
    <t>bio</t>
  </si>
  <si>
    <t>BIO</t>
  </si>
  <si>
    <t>Biology - HC</t>
  </si>
  <si>
    <t>hbz</t>
  </si>
  <si>
    <t>Biology - MC</t>
  </si>
  <si>
    <t>mbz</t>
  </si>
  <si>
    <t>Biomedical Engineering</t>
  </si>
  <si>
    <t>APBX</t>
  </si>
  <si>
    <t>Black World Studies</t>
  </si>
  <si>
    <t>AS75</t>
  </si>
  <si>
    <t>bws</t>
  </si>
  <si>
    <t>BWS</t>
  </si>
  <si>
    <t>Botany</t>
  </si>
  <si>
    <t>AS07</t>
  </si>
  <si>
    <t>BOT</t>
  </si>
  <si>
    <t>Botany - HC</t>
  </si>
  <si>
    <t>hbo</t>
  </si>
  <si>
    <t>Botany - MC</t>
  </si>
  <si>
    <t>mbo</t>
  </si>
  <si>
    <t>Bursar</t>
  </si>
  <si>
    <t>bur</t>
  </si>
  <si>
    <t>Bus Information Mgt Tech</t>
  </si>
  <si>
    <t>BKL</t>
  </si>
  <si>
    <t>Business - AA</t>
  </si>
  <si>
    <t>BUZ2</t>
  </si>
  <si>
    <t>Business Administration</t>
  </si>
  <si>
    <t>BUBA</t>
  </si>
  <si>
    <t>Business Analysis</t>
  </si>
  <si>
    <t>BAB</t>
  </si>
  <si>
    <t>BUS</t>
  </si>
  <si>
    <t>Business Analytics</t>
  </si>
  <si>
    <t>BUBY</t>
  </si>
  <si>
    <t>Business Economics</t>
  </si>
  <si>
    <t>Business; Economics</t>
  </si>
  <si>
    <t>BU14</t>
  </si>
  <si>
    <t>Business Education</t>
  </si>
  <si>
    <t>Business; Education</t>
  </si>
  <si>
    <t>E08</t>
  </si>
  <si>
    <t>Business Info Software Tech</t>
  </si>
  <si>
    <t>BU3C</t>
  </si>
  <si>
    <t>Business Legal Studies</t>
  </si>
  <si>
    <t>Business Legal Studies; Business; Government and Law</t>
  </si>
  <si>
    <t>Abigail Morgan; Erica Freed; Jenny Presnell</t>
  </si>
  <si>
    <t>BLS</t>
  </si>
  <si>
    <t>Business Management</t>
  </si>
  <si>
    <t>Management</t>
  </si>
  <si>
    <t>C023</t>
  </si>
  <si>
    <t>Business Management Technology</t>
  </si>
  <si>
    <t>RCKM; RC50; BUKM</t>
  </si>
  <si>
    <t>Business Psychology</t>
  </si>
  <si>
    <t>A47</t>
  </si>
  <si>
    <t>Business Services - HC</t>
  </si>
  <si>
    <t>hbs</t>
  </si>
  <si>
    <t>Business Services - MC</t>
  </si>
  <si>
    <t>mbs</t>
  </si>
  <si>
    <t>Business Software Technology</t>
  </si>
  <si>
    <t>BU50</t>
  </si>
  <si>
    <t>Business Technology</t>
  </si>
  <si>
    <t>hbt</t>
  </si>
  <si>
    <t>BTE</t>
  </si>
  <si>
    <t>Business Technology - MC</t>
  </si>
  <si>
    <t>mbt</t>
  </si>
  <si>
    <t>Business in the Global Market</t>
  </si>
  <si>
    <t>BU6D</t>
  </si>
  <si>
    <t>COM--Speech Pathology &amp; Audio</t>
  </si>
  <si>
    <t>Speech Pathology and Audiology</t>
  </si>
  <si>
    <t>EJB</t>
  </si>
  <si>
    <t>Cell, Molec &amp; Struct Biology</t>
  </si>
  <si>
    <t>ASCB</t>
  </si>
  <si>
    <t>Center for Career Exploration &amp; Success</t>
  </si>
  <si>
    <t>cpo</t>
  </si>
  <si>
    <t>Center for Chemistry Education - MC</t>
  </si>
  <si>
    <t>che</t>
  </si>
  <si>
    <t>Center for Civic Engagement - HC</t>
  </si>
  <si>
    <t>hcc</t>
  </si>
  <si>
    <t>Center for Teaching Excellence</t>
  </si>
  <si>
    <t>Education; Educational Leadership</t>
  </si>
  <si>
    <t>Abigail Morgan; Jaclyn Spraetz</t>
  </si>
  <si>
    <t>clt</t>
  </si>
  <si>
    <t>Chemical &amp; Biomedical Engineer</t>
  </si>
  <si>
    <t>Chemical, Paper, and Biomedical Engineering</t>
  </si>
  <si>
    <t>APCB</t>
  </si>
  <si>
    <t>Chemical Engineering</t>
  </si>
  <si>
    <t>APCL</t>
  </si>
  <si>
    <t>Chemical Technology</t>
  </si>
  <si>
    <t>APCH; ASCH</t>
  </si>
  <si>
    <t>Chemical, Paper and Biomedical Engineering</t>
  </si>
  <si>
    <t>cpb</t>
  </si>
  <si>
    <t>CPB</t>
  </si>
  <si>
    <t>Chemistry</t>
  </si>
  <si>
    <t>Chemistry and Biochemistry</t>
  </si>
  <si>
    <t>AS09; EA09</t>
  </si>
  <si>
    <t>Chemistry And Biochemistry - HC</t>
  </si>
  <si>
    <t>hch</t>
  </si>
  <si>
    <t>Chemistry And Biochemistry - MC</t>
  </si>
  <si>
    <t>mch</t>
  </si>
  <si>
    <t>Chemistry Education</t>
  </si>
  <si>
    <t>Chemistry and Biochemistry; Education</t>
  </si>
  <si>
    <t>Kristen Adams; Abigail Morgan</t>
  </si>
  <si>
    <t>EACH</t>
  </si>
  <si>
    <t>chm</t>
  </si>
  <si>
    <t>CHM</t>
  </si>
  <si>
    <t>Child Life Specialist</t>
  </si>
  <si>
    <t>Family Science and Social Work; Psychology</t>
  </si>
  <si>
    <t>C025; EA5C</t>
  </si>
  <si>
    <t>China Business Program</t>
  </si>
  <si>
    <t>Business; Asian Studies</t>
  </si>
  <si>
    <t>Abigail Morgan; Erica Freed; Katie Gibson</t>
  </si>
  <si>
    <t>BU1C</t>
  </si>
  <si>
    <t>Chinese</t>
  </si>
  <si>
    <t>Asian Studies</t>
  </si>
  <si>
    <t>CHI</t>
  </si>
  <si>
    <t>Chinese Education</t>
  </si>
  <si>
    <t>EAGP</t>
  </si>
  <si>
    <t>Civic and Regional Development</t>
  </si>
  <si>
    <t>RCCR</t>
  </si>
  <si>
    <t>CRD</t>
  </si>
  <si>
    <t>Classical Humanities</t>
  </si>
  <si>
    <t>Classics</t>
  </si>
  <si>
    <t>AS11</t>
  </si>
  <si>
    <t>Classical Languages</t>
  </si>
  <si>
    <t>ASCL</t>
  </si>
  <si>
    <t>Classical Studies</t>
  </si>
  <si>
    <t>ASCS</t>
  </si>
  <si>
    <t>cls</t>
  </si>
  <si>
    <t>CLS</t>
  </si>
  <si>
    <t>Classics - HC</t>
  </si>
  <si>
    <t>hca</t>
  </si>
  <si>
    <t>Classics - MC</t>
  </si>
  <si>
    <t>mca</t>
  </si>
  <si>
    <t>Classroom Teacher, Elementary</t>
  </si>
  <si>
    <t>E13</t>
  </si>
  <si>
    <t>Classroom Teacher, Secondary</t>
  </si>
  <si>
    <t>EAJ</t>
  </si>
  <si>
    <t>Climate Control Technology</t>
  </si>
  <si>
    <t>3LL</t>
  </si>
  <si>
    <t>Clinical Laboratory Science</t>
  </si>
  <si>
    <t>AS92</t>
  </si>
  <si>
    <t>College Student Personnel</t>
  </si>
  <si>
    <t>EA81</t>
  </si>
  <si>
    <t>College Student Personnel Serv</t>
  </si>
  <si>
    <t>E81; E82</t>
  </si>
  <si>
    <t>College Teaching</t>
  </si>
  <si>
    <t>C007</t>
  </si>
  <si>
    <t>College of Education, Health &amp; Society</t>
  </si>
  <si>
    <t>eap</t>
  </si>
  <si>
    <t>College of Engineering and Computing</t>
  </si>
  <si>
    <t>Engineering; Computer Science and Engineering</t>
  </si>
  <si>
    <t>eas</t>
  </si>
  <si>
    <t>EAS</t>
  </si>
  <si>
    <t>Commerce</t>
  </si>
  <si>
    <t>RCCO</t>
  </si>
  <si>
    <t>rcmr</t>
  </si>
  <si>
    <t>CMR</t>
  </si>
  <si>
    <t>Communication</t>
  </si>
  <si>
    <t>COM</t>
  </si>
  <si>
    <t>Communication &amp; Theatre</t>
  </si>
  <si>
    <t>Theatre</t>
  </si>
  <si>
    <t>A53</t>
  </si>
  <si>
    <t>Communication - HC</t>
  </si>
  <si>
    <t>hcm</t>
  </si>
  <si>
    <t>Communication - MC</t>
  </si>
  <si>
    <t>mcm</t>
  </si>
  <si>
    <t>Communication Design</t>
  </si>
  <si>
    <t>Graphic Design</t>
  </si>
  <si>
    <t>FACD</t>
  </si>
  <si>
    <t>Communication Education</t>
  </si>
  <si>
    <t>EALV</t>
  </si>
  <si>
    <t>Communication Engineering</t>
  </si>
  <si>
    <t>cme</t>
  </si>
  <si>
    <t>Communication Pre-Major</t>
  </si>
  <si>
    <t>ASCP</t>
  </si>
  <si>
    <t>Communication Studies</t>
  </si>
  <si>
    <t>RCCS</t>
  </si>
  <si>
    <t>Communications Edu:  English</t>
  </si>
  <si>
    <t>English</t>
  </si>
  <si>
    <t>ELU</t>
  </si>
  <si>
    <t>Communications Edu:  Speech</t>
  </si>
  <si>
    <t>ELT</t>
  </si>
  <si>
    <t>Community Arts</t>
  </si>
  <si>
    <t>John Burke; Krista McDonald</t>
  </si>
  <si>
    <t>RCCA</t>
  </si>
  <si>
    <t>CMA</t>
  </si>
  <si>
    <t>Community Engagement and Service</t>
  </si>
  <si>
    <t>stl</t>
  </si>
  <si>
    <t>Community Outreach Program</t>
  </si>
  <si>
    <t>cop</t>
  </si>
  <si>
    <t>Comparative Media Studies</t>
  </si>
  <si>
    <t>Media, Journalism, and Film; Interactive Media Studies</t>
  </si>
  <si>
    <t>Mark Dahlquist; Nate Floyd</t>
  </si>
  <si>
    <t>BUCM; EACM; RCCM; FACM; ASCM; APCM</t>
  </si>
  <si>
    <t>CMS</t>
  </si>
  <si>
    <t>Comparative Religion - HC</t>
  </si>
  <si>
    <t>hrl</t>
  </si>
  <si>
    <t>Comparative Religion - MC</t>
  </si>
  <si>
    <t>mrl</t>
  </si>
  <si>
    <t>Computational Sci and Engineer</t>
  </si>
  <si>
    <t>Computer Science and Engineering</t>
  </si>
  <si>
    <t>APCS</t>
  </si>
  <si>
    <t>cse</t>
  </si>
  <si>
    <t>Computatn Elec &amp; Comp Engineer</t>
  </si>
  <si>
    <t>APEC</t>
  </si>
  <si>
    <t>Computatn Mechanical Engineer</t>
  </si>
  <si>
    <t>APCO</t>
  </si>
  <si>
    <t>Computer &amp; Information Technology - HC</t>
  </si>
  <si>
    <t>hct</t>
  </si>
  <si>
    <t>Computer &amp; Information Technology - MC</t>
  </si>
  <si>
    <t>mct</t>
  </si>
  <si>
    <t>Computer Aided Drafting/Mfg</t>
  </si>
  <si>
    <t>AP1C</t>
  </si>
  <si>
    <t>Computer Engineering</t>
  </si>
  <si>
    <t>APCE</t>
  </si>
  <si>
    <t>Computer Facilities - HC</t>
  </si>
  <si>
    <t>hcp</t>
  </si>
  <si>
    <t>Computer Facilities - MC</t>
  </si>
  <si>
    <t>mcp</t>
  </si>
  <si>
    <t>Computer Hardware Technology</t>
  </si>
  <si>
    <t>AP2C</t>
  </si>
  <si>
    <t>Computer Science</t>
  </si>
  <si>
    <t>AP90</t>
  </si>
  <si>
    <t>Computer Science Education</t>
  </si>
  <si>
    <t>Computer Science and Engineering; Education</t>
  </si>
  <si>
    <t>Roger Justus; Abigail Morgan</t>
  </si>
  <si>
    <t>ECJ</t>
  </si>
  <si>
    <t>CSE</t>
  </si>
  <si>
    <t>Computer Science and Systems Analysis - HC</t>
  </si>
  <si>
    <t>hcs</t>
  </si>
  <si>
    <t>Computer Tech:  Transfer Opt</t>
  </si>
  <si>
    <t>3QT</t>
  </si>
  <si>
    <t>Computer Technology</t>
  </si>
  <si>
    <t>AP88; RC88</t>
  </si>
  <si>
    <t>Computer and Information Technology</t>
  </si>
  <si>
    <t>AP87; RC87</t>
  </si>
  <si>
    <t>rcit</t>
  </si>
  <si>
    <t>CIT</t>
  </si>
  <si>
    <t>Conservation Biology</t>
  </si>
  <si>
    <t>Biology; Environmental Sciences</t>
  </si>
  <si>
    <t>C008</t>
  </si>
  <si>
    <t>Consumer Service</t>
  </si>
  <si>
    <t>ELY</t>
  </si>
  <si>
    <t>Controllers Office</t>
  </si>
  <si>
    <t>Accountancy; Educational Leadership</t>
  </si>
  <si>
    <t>Erica Freed; Jaclyn Spraetz</t>
  </si>
  <si>
    <t>cof</t>
  </si>
  <si>
    <t>Conversion</t>
  </si>
  <si>
    <t>ZZZZ</t>
  </si>
  <si>
    <t>Creative Arts</t>
  </si>
  <si>
    <t>fna</t>
  </si>
  <si>
    <t>CCA</t>
  </si>
  <si>
    <t>Creative Arts - AA</t>
  </si>
  <si>
    <t>FAZ1</t>
  </si>
  <si>
    <t>Creativity Entrepreneurship</t>
  </si>
  <si>
    <t>Entrepreneurship</t>
  </si>
  <si>
    <t>BU2D</t>
  </si>
  <si>
    <t>Criminal Justice</t>
  </si>
  <si>
    <t>Criminology</t>
  </si>
  <si>
    <t>ASCJ; RCCJ</t>
  </si>
  <si>
    <t>Criminal Justice Admin</t>
  </si>
  <si>
    <t>C020</t>
  </si>
  <si>
    <t>Criminal Justice Studies</t>
  </si>
  <si>
    <t>A87; 387</t>
  </si>
  <si>
    <t>CJS</t>
  </si>
  <si>
    <t>Crit &amp; Classic Lang &amp; Cultures</t>
  </si>
  <si>
    <t>APCC; EACC; RCCC; FACC; BUCC; ASCC</t>
  </si>
  <si>
    <t>Critical Race and Ethnic Studies</t>
  </si>
  <si>
    <t>Black World Studies; Women's Gender and Sexuality Studies; Latin American Studies; American Studies; International Studies; Middle East and Islamic Studies</t>
  </si>
  <si>
    <t>ASCR</t>
  </si>
  <si>
    <t>CRE</t>
  </si>
  <si>
    <t>Curriculum &amp; Tchr Leadership</t>
  </si>
  <si>
    <t>EACT</t>
  </si>
  <si>
    <t>Curriculum and Instruction</t>
  </si>
  <si>
    <t>EACI</t>
  </si>
  <si>
    <t>Curriculum and Supervision</t>
  </si>
  <si>
    <t>EA28</t>
  </si>
  <si>
    <t>Customer Service</t>
  </si>
  <si>
    <t>RC1C</t>
  </si>
  <si>
    <t>Data Analytics</t>
  </si>
  <si>
    <t>Statistics; Information Systems and Analytics</t>
  </si>
  <si>
    <t>ASDA</t>
  </si>
  <si>
    <t>Data Science and Statistics</t>
  </si>
  <si>
    <t>ASDS</t>
  </si>
  <si>
    <t>Deals</t>
  </si>
  <si>
    <t>C034; BU1E</t>
  </si>
  <si>
    <t>Decision Science &amp; MIS - HC</t>
  </si>
  <si>
    <t>hds</t>
  </si>
  <si>
    <t>Decision Science &amp; MIS - MC</t>
  </si>
  <si>
    <t>mds</t>
  </si>
  <si>
    <t>Decision Sciences</t>
  </si>
  <si>
    <t>BU41</t>
  </si>
  <si>
    <t>DSC</t>
  </si>
  <si>
    <t>Degree Audit Reporting System</t>
  </si>
  <si>
    <t>dar</t>
  </si>
  <si>
    <t>Department Of Public Safety</t>
  </si>
  <si>
    <t>Criminology; Educational Leadership</t>
  </si>
  <si>
    <t>Megan Jaskowiak; Jaclyn Spraetz</t>
  </si>
  <si>
    <t>psf</t>
  </si>
  <si>
    <t>Design Thinking</t>
  </si>
  <si>
    <t>FA1C</t>
  </si>
  <si>
    <t>Development</t>
  </si>
  <si>
    <t>urd</t>
  </si>
  <si>
    <t>Development-MC</t>
  </si>
  <si>
    <t>mdt</t>
  </si>
  <si>
    <t>Diagnostic &amp; Remedial Edu</t>
  </si>
  <si>
    <t>E63; E67</t>
  </si>
  <si>
    <t>Dietetics</t>
  </si>
  <si>
    <t>EAMA</t>
  </si>
  <si>
    <t>Digital Business Systems</t>
  </si>
  <si>
    <t>RCDB</t>
  </si>
  <si>
    <t>Digital Commerce</t>
  </si>
  <si>
    <t>RCDC</t>
  </si>
  <si>
    <t>Diplomacy and Foreign Affairs</t>
  </si>
  <si>
    <t>Political Science</t>
  </si>
  <si>
    <t>AS20</t>
  </si>
  <si>
    <t>Diplomacy and Global Politics</t>
  </si>
  <si>
    <t>ASDP</t>
  </si>
  <si>
    <t>Disability Studies</t>
  </si>
  <si>
    <t>DST</t>
  </si>
  <si>
    <t>Division Of Intercollegiate Athletic</t>
  </si>
  <si>
    <t>ica</t>
  </si>
  <si>
    <t>Dolibois European Center</t>
  </si>
  <si>
    <t>eur</t>
  </si>
  <si>
    <t>Drafting-Design Technology</t>
  </si>
  <si>
    <t>3LG</t>
  </si>
  <si>
    <t>E-Business Management Tech</t>
  </si>
  <si>
    <t>BUEB; RCEB</t>
  </si>
  <si>
    <t>EMSS Technology Services</t>
  </si>
  <si>
    <t>ets</t>
  </si>
  <si>
    <t>EPA Testing &amp; Evaluation Facility</t>
  </si>
  <si>
    <t>Environmental Sciences</t>
  </si>
  <si>
    <t>epa</t>
  </si>
  <si>
    <t>Early Childhood Education</t>
  </si>
  <si>
    <t>EAGA</t>
  </si>
  <si>
    <t>Earth Science</t>
  </si>
  <si>
    <t>Geology; Environmental Sciences</t>
  </si>
  <si>
    <t>ASEA; EA93</t>
  </si>
  <si>
    <t>Earth Science Education</t>
  </si>
  <si>
    <t>Education; Geology</t>
  </si>
  <si>
    <t>Abigail Morgan; Kristen Adams</t>
  </si>
  <si>
    <t>EAGB</t>
  </si>
  <si>
    <t>Earth Science/Chemistry Edu</t>
  </si>
  <si>
    <t>EAGD</t>
  </si>
  <si>
    <t>Earth Science/Life Sci Edu</t>
  </si>
  <si>
    <t>Education; Geology; Biology</t>
  </si>
  <si>
    <t>Abigail Morgan; Kristen Adams; Ginny Boehme</t>
  </si>
  <si>
    <t>EAGC</t>
  </si>
  <si>
    <t>Earth Science/Physics Edu</t>
  </si>
  <si>
    <t>Education; Geology; Physics</t>
  </si>
  <si>
    <t>EAGE</t>
  </si>
  <si>
    <t>East Asian Languages and Cultures</t>
  </si>
  <si>
    <t>ASAL</t>
  </si>
  <si>
    <t>Ecol, Evol &amp; Envir Biology</t>
  </si>
  <si>
    <t>Environmental Sciences; Biology</t>
  </si>
  <si>
    <t>ASEE</t>
  </si>
  <si>
    <t>Ecology</t>
  </si>
  <si>
    <t>C009</t>
  </si>
  <si>
    <t>Ecology Research Center</t>
  </si>
  <si>
    <t>erc</t>
  </si>
  <si>
    <t>Economics</t>
  </si>
  <si>
    <t>AS15; BU15</t>
  </si>
  <si>
    <t>eco</t>
  </si>
  <si>
    <t>ECO</t>
  </si>
  <si>
    <t>Economics - HC</t>
  </si>
  <si>
    <t>hec</t>
  </si>
  <si>
    <t>Economics - MC</t>
  </si>
  <si>
    <t>mec</t>
  </si>
  <si>
    <t>Edu Mentally Handicapped/Elem</t>
  </si>
  <si>
    <t>Education; Disability Studies</t>
  </si>
  <si>
    <t>E78</t>
  </si>
  <si>
    <t>Education &amp; Society</t>
  </si>
  <si>
    <t>reds</t>
  </si>
  <si>
    <t>Education - AA</t>
  </si>
  <si>
    <t>EAZ3</t>
  </si>
  <si>
    <t>Education Studies</t>
  </si>
  <si>
    <t>EA02</t>
  </si>
  <si>
    <t>Education, Health and Society</t>
  </si>
  <si>
    <t>EHS</t>
  </si>
  <si>
    <t>Education, Health&amp;Society - AA</t>
  </si>
  <si>
    <t>EAZ1</t>
  </si>
  <si>
    <t>Educational Administration</t>
  </si>
  <si>
    <t>AS97; EA97</t>
  </si>
  <si>
    <t>EAEL</t>
  </si>
  <si>
    <t>edl</t>
  </si>
  <si>
    <t>EDL</t>
  </si>
  <si>
    <t>Educational Leadership - HC</t>
  </si>
  <si>
    <t>hel</t>
  </si>
  <si>
    <t>Educational Leadership - MC</t>
  </si>
  <si>
    <t>mel</t>
  </si>
  <si>
    <t>Educational Media</t>
  </si>
  <si>
    <t>E91</t>
  </si>
  <si>
    <t>Educational Psychology</t>
  </si>
  <si>
    <t>EA30</t>
  </si>
  <si>
    <t>edp</t>
  </si>
  <si>
    <t>EDP</t>
  </si>
  <si>
    <t>Educational Psychology - HC</t>
  </si>
  <si>
    <t>hep</t>
  </si>
  <si>
    <t>Educational Psychology - MC</t>
  </si>
  <si>
    <t>mep</t>
  </si>
  <si>
    <t>Educational Technology</t>
  </si>
  <si>
    <t>Education; Computer Science and Engineering</t>
  </si>
  <si>
    <t>Abigail Morgan; Roger Justus</t>
  </si>
  <si>
    <t>EAET</t>
  </si>
  <si>
    <t>Electrical &amp; Computer Eng Tech</t>
  </si>
  <si>
    <t>Electrical Engineering; Computer Science and Engineering</t>
  </si>
  <si>
    <t>APPZ; RCPZ</t>
  </si>
  <si>
    <t>Electrical &amp; Computer Engineer</t>
  </si>
  <si>
    <t>AP27</t>
  </si>
  <si>
    <t>Electrical Engineering</t>
  </si>
  <si>
    <t>APEE</t>
  </si>
  <si>
    <t>Electrical Engineering Tech</t>
  </si>
  <si>
    <t>APPE</t>
  </si>
  <si>
    <t>Electrical and Computer Engineering</t>
  </si>
  <si>
    <t>ece</t>
  </si>
  <si>
    <t>ECE</t>
  </si>
  <si>
    <t>Electromechancial EGR Tech</t>
  </si>
  <si>
    <t>3PF</t>
  </si>
  <si>
    <t>Electron Microscopy Facility</t>
  </si>
  <si>
    <t>emf</t>
  </si>
  <si>
    <t>Elem/Kindergarten-Primary Ed</t>
  </si>
  <si>
    <t>EAMN</t>
  </si>
  <si>
    <t>Elementary Education</t>
  </si>
  <si>
    <t>EA17</t>
  </si>
  <si>
    <t>Elementary Mathematics Edu</t>
  </si>
  <si>
    <t>EAMG</t>
  </si>
  <si>
    <t>Elementary School Principal</t>
  </si>
  <si>
    <t>E44</t>
  </si>
  <si>
    <t>Energy</t>
  </si>
  <si>
    <t>Engineering; Physics</t>
  </si>
  <si>
    <t>APEN; BUEN; EAEN; RCEN; FAEN; ASEN</t>
  </si>
  <si>
    <t>Energy Management &amp; Engineering</t>
  </si>
  <si>
    <t>eme</t>
  </si>
  <si>
    <t>APEI</t>
  </si>
  <si>
    <t>Engineering Management</t>
  </si>
  <si>
    <t>Management; Engineering</t>
  </si>
  <si>
    <t>Erica Freed; Kristen Adams; Roger Justus</t>
  </si>
  <si>
    <t>APQV</t>
  </si>
  <si>
    <t>EGM</t>
  </si>
  <si>
    <t>Engineering Physics</t>
  </si>
  <si>
    <t>AS68</t>
  </si>
  <si>
    <t>Engineering Technology</t>
  </si>
  <si>
    <t>APET; RCET</t>
  </si>
  <si>
    <t>rent</t>
  </si>
  <si>
    <t>ENT</t>
  </si>
  <si>
    <t>Engineering Technology - HC</t>
  </si>
  <si>
    <t>het</t>
  </si>
  <si>
    <t>Engineering Technology - MC</t>
  </si>
  <si>
    <t>met</t>
  </si>
  <si>
    <t>Engineering and Computing</t>
  </si>
  <si>
    <t>CEC</t>
  </si>
  <si>
    <t>Engineering and Computing - AA</t>
  </si>
  <si>
    <t>APZ2</t>
  </si>
  <si>
    <t>ASIA</t>
  </si>
  <si>
    <t>eng</t>
  </si>
  <si>
    <t>ENG</t>
  </si>
  <si>
    <t>English - HC</t>
  </si>
  <si>
    <t>hen</t>
  </si>
  <si>
    <t>English - MC</t>
  </si>
  <si>
    <t>men</t>
  </si>
  <si>
    <t>English Education</t>
  </si>
  <si>
    <t>English; Education</t>
  </si>
  <si>
    <t>Mark Dahlquist; Abigail Morgan</t>
  </si>
  <si>
    <t>EALF</t>
  </si>
  <si>
    <t>English Learning Center - MC</t>
  </si>
  <si>
    <t>mlc</t>
  </si>
  <si>
    <t>English Lit: Teacher Cert</t>
  </si>
  <si>
    <t>ASIE</t>
  </si>
  <si>
    <t>English Studies</t>
  </si>
  <si>
    <t>RCEG</t>
  </si>
  <si>
    <t>EGS</t>
  </si>
  <si>
    <t>English:  Communication (Ed)</t>
  </si>
  <si>
    <t>ALS</t>
  </si>
  <si>
    <t>English:  Journalism</t>
  </si>
  <si>
    <t>Media, Journalism, and Film</t>
  </si>
  <si>
    <t>ASIJ</t>
  </si>
  <si>
    <t>English:  Linguistics</t>
  </si>
  <si>
    <t>ASIL</t>
  </si>
  <si>
    <t>English:  Linguistics (Ed)</t>
  </si>
  <si>
    <t>ELA</t>
  </si>
  <si>
    <t>English:  Literature (Ed)</t>
  </si>
  <si>
    <t>ELB</t>
  </si>
  <si>
    <t>English:  Professional Writing</t>
  </si>
  <si>
    <t>AIW</t>
  </si>
  <si>
    <t>English: Creative Writing</t>
  </si>
  <si>
    <t>ASIC</t>
  </si>
  <si>
    <t>English: Literature</t>
  </si>
  <si>
    <t>AS18</t>
  </si>
  <si>
    <t>English: Professional Writing</t>
  </si>
  <si>
    <t>ASPW</t>
  </si>
  <si>
    <t>Enrollment Center - HC</t>
  </si>
  <si>
    <t>hem</t>
  </si>
  <si>
    <t>Enrollment Center - MC</t>
  </si>
  <si>
    <t>mem</t>
  </si>
  <si>
    <t>Enrollment Communications</t>
  </si>
  <si>
    <t>enc</t>
  </si>
  <si>
    <t>Enrollment Management &amp; Student Success</t>
  </si>
  <si>
    <t>ems; oem</t>
  </si>
  <si>
    <t>Enrollment Services - MC</t>
  </si>
  <si>
    <t>mes</t>
  </si>
  <si>
    <t>AP08; EA08; RC08; FA08; BU08; AS08</t>
  </si>
  <si>
    <t>esp</t>
  </si>
  <si>
    <t>ESP</t>
  </si>
  <si>
    <t>Entrepreneurship&amp;Emer Tech</t>
  </si>
  <si>
    <t>C026; FAEE</t>
  </si>
  <si>
    <t>Environ Principles &amp; Practices</t>
  </si>
  <si>
    <t>APEP; BUEP; EAEP; FAEP; ASEP</t>
  </si>
  <si>
    <t>Environmental Design</t>
  </si>
  <si>
    <t>Art and Architecture; Environmental Sciences</t>
  </si>
  <si>
    <t>Stefanie Hilles; Ginny Boehme</t>
  </si>
  <si>
    <t>FA57</t>
  </si>
  <si>
    <t>Environmental Earth Science</t>
  </si>
  <si>
    <t>ASEV</t>
  </si>
  <si>
    <t>Environmental Health &amp; Safety</t>
  </si>
  <si>
    <t>esr</t>
  </si>
  <si>
    <t>Environmental Science</t>
  </si>
  <si>
    <t>APES; ISES; IS76; BUES; RCES; FAES; EAES; ASES; AS76</t>
  </si>
  <si>
    <t>ENV</t>
  </si>
  <si>
    <t>IS77</t>
  </si>
  <si>
    <t>IES</t>
  </si>
  <si>
    <t>Equestrian Center</t>
  </si>
  <si>
    <t>ecc</t>
  </si>
  <si>
    <t>Equity &amp; Equal Opportunity</t>
  </si>
  <si>
    <t>eeo</t>
  </si>
  <si>
    <t>Esports Management</t>
  </si>
  <si>
    <t>C024; FA2C</t>
  </si>
  <si>
    <t>Ethics and Student Conflict Resolution</t>
  </si>
  <si>
    <t>jaf</t>
  </si>
  <si>
    <t>Executive Secretarial Tech</t>
  </si>
  <si>
    <t>B60</t>
  </si>
  <si>
    <t>Exercise Science</t>
  </si>
  <si>
    <t>EAEX</t>
  </si>
  <si>
    <t>Exercise and Health Studies</t>
  </si>
  <si>
    <t>EAEH</t>
  </si>
  <si>
    <t>Experience Design</t>
  </si>
  <si>
    <t>Interactive Media Studies</t>
  </si>
  <si>
    <t>FADE</t>
  </si>
  <si>
    <t>FBS Information Technology</t>
  </si>
  <si>
    <t>Finance; Computer Science and Engineering</t>
  </si>
  <si>
    <t>Erica Freed; Roger Justus</t>
  </si>
  <si>
    <t>fbt</t>
  </si>
  <si>
    <t>Family &amp; Child Studies</t>
  </si>
  <si>
    <t>Family Science and Social Work</t>
  </si>
  <si>
    <t>EALQ</t>
  </si>
  <si>
    <t>Family Life Education</t>
  </si>
  <si>
    <t>EAFE</t>
  </si>
  <si>
    <t>Family Science</t>
  </si>
  <si>
    <t>EAFA</t>
  </si>
  <si>
    <t>fsw</t>
  </si>
  <si>
    <t>FSW</t>
  </si>
  <si>
    <t>Family Studies</t>
  </si>
  <si>
    <t>EAFS</t>
  </si>
  <si>
    <t>Family Studies &amp; Social Work - MC</t>
  </si>
  <si>
    <t>mfc</t>
  </si>
  <si>
    <t>Family Studies and Social Work - HC</t>
  </si>
  <si>
    <t>hfc</t>
  </si>
  <si>
    <t>Farmer School of Business</t>
  </si>
  <si>
    <t>Business; Educational Leadership</t>
  </si>
  <si>
    <t>Abigail Morgan; Erica Freed; Jaclyn Spraetz</t>
  </si>
  <si>
    <t>FSB</t>
  </si>
  <si>
    <t>Fashion</t>
  </si>
  <si>
    <t>FAFN; BUFN; RCFN; EAFN; ASFN; APFN</t>
  </si>
  <si>
    <t>FAS</t>
  </si>
  <si>
    <t>Film Studies</t>
  </si>
  <si>
    <t>APFC; ASFC; BUFC; EAFC; FAFC; RCFC</t>
  </si>
  <si>
    <t>FST</t>
  </si>
  <si>
    <t>BU19</t>
  </si>
  <si>
    <t>fin</t>
  </si>
  <si>
    <t>FIN</t>
  </si>
  <si>
    <t>Finance - MC</t>
  </si>
  <si>
    <t>mfn</t>
  </si>
  <si>
    <t>Financial Aid - HC</t>
  </si>
  <si>
    <t>hfl</t>
  </si>
  <si>
    <t>Financial Aid - MC</t>
  </si>
  <si>
    <t>mfl</t>
  </si>
  <si>
    <t>Fine Arts - AA</t>
  </si>
  <si>
    <t>FAZ4</t>
  </si>
  <si>
    <t>Food Management</t>
  </si>
  <si>
    <t>EMD</t>
  </si>
  <si>
    <t>Food Service Management</t>
  </si>
  <si>
    <t>EME</t>
  </si>
  <si>
    <t>Food Systems and Food Studies</t>
  </si>
  <si>
    <t>Geography; Kinesiology, Nutrition, and Health</t>
  </si>
  <si>
    <t>AP61; EA61; AS61; RC61; FA61; BU61</t>
  </si>
  <si>
    <t>Foreign Language Education</t>
  </si>
  <si>
    <t>EAFL</t>
  </si>
  <si>
    <t>Forensic Investigation</t>
  </si>
  <si>
    <t>RCFI</t>
  </si>
  <si>
    <t>Forensic Science</t>
  </si>
  <si>
    <t>RCFS</t>
  </si>
  <si>
    <t>Fostering Just Communities</t>
  </si>
  <si>
    <t>Civic and Regional Development; Geography; Political Science</t>
  </si>
  <si>
    <t>Krista McDonald; Kristen Adams; Jenny Presnell</t>
  </si>
  <si>
    <t>EA4C</t>
  </si>
  <si>
    <t>Foundations of Analytics</t>
  </si>
  <si>
    <t>BU5D</t>
  </si>
  <si>
    <t>French</t>
  </si>
  <si>
    <t>AS21; EA21</t>
  </si>
  <si>
    <t>FRE</t>
  </si>
  <si>
    <t>French And Italian - HC</t>
  </si>
  <si>
    <t>hfi</t>
  </si>
  <si>
    <t>French And Italian - MC</t>
  </si>
  <si>
    <t>mfi</t>
  </si>
  <si>
    <t>French Education</t>
  </si>
  <si>
    <t>French; Education</t>
  </si>
  <si>
    <t>Katie Gibson; Abigail Morgan</t>
  </si>
  <si>
    <t>EAGM</t>
  </si>
  <si>
    <t>French and Italian</t>
  </si>
  <si>
    <t>French; Italian</t>
  </si>
  <si>
    <t>fri</t>
  </si>
  <si>
    <t>Games + Simulation</t>
  </si>
  <si>
    <t>FA21</t>
  </si>
  <si>
    <t>Gen Secretarial Technical Pgm</t>
  </si>
  <si>
    <t>BU4C</t>
  </si>
  <si>
    <t>General</t>
  </si>
  <si>
    <t>BUGL</t>
  </si>
  <si>
    <t>General Accounting</t>
  </si>
  <si>
    <t>gac</t>
  </si>
  <si>
    <t>General Business</t>
  </si>
  <si>
    <t>BU22</t>
  </si>
  <si>
    <t>General Engineering</t>
  </si>
  <si>
    <t>APGE</t>
  </si>
  <si>
    <t>General Spv Technical Program</t>
  </si>
  <si>
    <t>BU5C</t>
  </si>
  <si>
    <t>Geographic Information Science</t>
  </si>
  <si>
    <t>Geography; Geology</t>
  </si>
  <si>
    <t>AS1C; C010</t>
  </si>
  <si>
    <t>Geography</t>
  </si>
  <si>
    <t>AS23</t>
  </si>
  <si>
    <t>geo</t>
  </si>
  <si>
    <t>GEO</t>
  </si>
  <si>
    <t>Geography &amp; Sustainable Dvlpmt</t>
  </si>
  <si>
    <t>Geography; Environmental Sciences</t>
  </si>
  <si>
    <t>AS22</t>
  </si>
  <si>
    <t>Geography - MC</t>
  </si>
  <si>
    <t>mgg</t>
  </si>
  <si>
    <t>Geography-HC</t>
  </si>
  <si>
    <t>hgg</t>
  </si>
  <si>
    <t>Geology</t>
  </si>
  <si>
    <t>AS24</t>
  </si>
  <si>
    <t>glg</t>
  </si>
  <si>
    <t>GLG</t>
  </si>
  <si>
    <t>Geology - HC</t>
  </si>
  <si>
    <t>hge</t>
  </si>
  <si>
    <t>Geology - MC</t>
  </si>
  <si>
    <t>mge</t>
  </si>
  <si>
    <t>German</t>
  </si>
  <si>
    <t>AS25; EA25</t>
  </si>
  <si>
    <t>GER</t>
  </si>
  <si>
    <t>German Education</t>
  </si>
  <si>
    <t>German; Education</t>
  </si>
  <si>
    <t>EAGN</t>
  </si>
  <si>
    <t>German, Russian &amp; East Asian - HC</t>
  </si>
  <si>
    <t>hgr</t>
  </si>
  <si>
    <t>German, Russian &amp; East Asian - MC</t>
  </si>
  <si>
    <t>mgr</t>
  </si>
  <si>
    <t>German,Russian,Asian &amp; Middle Eastern Languages and Cultures</t>
  </si>
  <si>
    <t>Global and Intercultural Studies</t>
  </si>
  <si>
    <t>Katie Gibson; Jenny Presnell; Nate Floyd</t>
  </si>
  <si>
    <t>gre</t>
  </si>
  <si>
    <t>Gerontological Studies</t>
  </si>
  <si>
    <t>Gerontology</t>
  </si>
  <si>
    <t>ASHG</t>
  </si>
  <si>
    <t>ASGE</t>
  </si>
  <si>
    <t>GTY</t>
  </si>
  <si>
    <t>Gerontology; Soc Entr &amp; Aging</t>
  </si>
  <si>
    <t>C019</t>
  </si>
  <si>
    <t>Global &amp; Intercultural Studies</t>
  </si>
  <si>
    <t>AP49; EA49; RC49; FA49; BU49; AS49</t>
  </si>
  <si>
    <t>gic</t>
  </si>
  <si>
    <t>GIC</t>
  </si>
  <si>
    <t>Global Health Studies</t>
  </si>
  <si>
    <t>GHS</t>
  </si>
  <si>
    <t>Global Initiatives</t>
  </si>
  <si>
    <t>gli</t>
  </si>
  <si>
    <t>Global Readiness</t>
  </si>
  <si>
    <t>AS2C</t>
  </si>
  <si>
    <t>Goggin Ice Center</t>
  </si>
  <si>
    <t>ice</t>
  </si>
  <si>
    <t>Graduate School Community</t>
  </si>
  <si>
    <t>GSC</t>
  </si>
  <si>
    <t>Graduate School and Research Office</t>
  </si>
  <si>
    <t>gsr</t>
  </si>
  <si>
    <t>FA05</t>
  </si>
  <si>
    <t>Greek</t>
  </si>
  <si>
    <t>AS27</t>
  </si>
  <si>
    <t>GRK</t>
  </si>
  <si>
    <t>Greek Affairs</t>
  </si>
  <si>
    <t>gra</t>
  </si>
  <si>
    <t>Guidance and Counseling</t>
  </si>
  <si>
    <t>E40</t>
  </si>
  <si>
    <t>Hamilton Bookstore</t>
  </si>
  <si>
    <t>HHB</t>
  </si>
  <si>
    <t>Hamilton Campus</t>
  </si>
  <si>
    <t>ham</t>
  </si>
  <si>
    <t>Health &amp; Physical Education</t>
  </si>
  <si>
    <t>ELO</t>
  </si>
  <si>
    <t>Health Appraisal &amp; Enhancement</t>
  </si>
  <si>
    <t>EAHH</t>
  </si>
  <si>
    <t>Health Communication</t>
  </si>
  <si>
    <t>RCHC</t>
  </si>
  <si>
    <t>Health Education</t>
  </si>
  <si>
    <t>Education; Kinesiology, Nutrition, and Health</t>
  </si>
  <si>
    <t>Abigail Morgan; Ginny Boehme</t>
  </si>
  <si>
    <t>EA96; EALN</t>
  </si>
  <si>
    <t>Health Information Technology</t>
  </si>
  <si>
    <t>APHT; RCHT</t>
  </si>
  <si>
    <t>Health Promotion</t>
  </si>
  <si>
    <t>EAHP</t>
  </si>
  <si>
    <t>Health Studies</t>
  </si>
  <si>
    <t>EAHS</t>
  </si>
  <si>
    <t>Hebrew</t>
  </si>
  <si>
    <t>HBW</t>
  </si>
  <si>
    <t>Hindi</t>
  </si>
  <si>
    <t>HIN</t>
  </si>
  <si>
    <t>History</t>
  </si>
  <si>
    <t>AS29</t>
  </si>
  <si>
    <t>hst</t>
  </si>
  <si>
    <t>HST</t>
  </si>
  <si>
    <t>History - HC</t>
  </si>
  <si>
    <t>hhs</t>
  </si>
  <si>
    <t>History - MC</t>
  </si>
  <si>
    <t>mhs</t>
  </si>
  <si>
    <t>Home Economics Education</t>
  </si>
  <si>
    <t>EMC</t>
  </si>
  <si>
    <t>Honors</t>
  </si>
  <si>
    <t>00UH</t>
  </si>
  <si>
    <t>hon</t>
  </si>
  <si>
    <t>HON</t>
  </si>
  <si>
    <t>Housing &amp; Interior Design</t>
  </si>
  <si>
    <t>ELX</t>
  </si>
  <si>
    <t>Housing, Dining, Recreation &amp; Business Services</t>
  </si>
  <si>
    <t>dnh; hdg</t>
  </si>
  <si>
    <t>Human Brain and Learning</t>
  </si>
  <si>
    <t>C011</t>
  </si>
  <si>
    <t>Human Capital Management and Leadership</t>
  </si>
  <si>
    <t>BUHC</t>
  </si>
  <si>
    <t>Human Resources</t>
  </si>
  <si>
    <t>Educational Leadership; Management</t>
  </si>
  <si>
    <t>hrd</t>
  </si>
  <si>
    <t>Human Resources Management</t>
  </si>
  <si>
    <t>BUKO</t>
  </si>
  <si>
    <t>Humanities &amp; Creative Arts</t>
  </si>
  <si>
    <t>rhca</t>
  </si>
  <si>
    <t>Humanities - AA</t>
  </si>
  <si>
    <t>ASZ5</t>
  </si>
  <si>
    <t>Humanities Center</t>
  </si>
  <si>
    <t>HUM</t>
  </si>
  <si>
    <t>Inclusive Special Education</t>
  </si>
  <si>
    <t>EAGZ</t>
  </si>
  <si>
    <t>Individual &amp; Family Studies</t>
  </si>
  <si>
    <t>EA31</t>
  </si>
  <si>
    <t>Individualized Studies</t>
  </si>
  <si>
    <t>Western (Individualized Studies)</t>
  </si>
  <si>
    <t>ASIN</t>
  </si>
  <si>
    <t>Industrial Education</t>
  </si>
  <si>
    <t>E32</t>
  </si>
  <si>
    <t>Information Systems</t>
  </si>
  <si>
    <t>Information Systems and Analytics</t>
  </si>
  <si>
    <t>BUIS</t>
  </si>
  <si>
    <t>BUIA</t>
  </si>
  <si>
    <t>isa</t>
  </si>
  <si>
    <t>ISA</t>
  </si>
  <si>
    <t>Information Technology</t>
  </si>
  <si>
    <t>John Burke; Mark Shores</t>
  </si>
  <si>
    <t>RCIT</t>
  </si>
  <si>
    <t>Information Technology Services</t>
  </si>
  <si>
    <t>Information Technology; Computer Science and Engineering</t>
  </si>
  <si>
    <t>John Burke; Mark Shores; Roger Justus</t>
  </si>
  <si>
    <t>uit</t>
  </si>
  <si>
    <t>Inst Learning in Retirement</t>
  </si>
  <si>
    <t>LR</t>
  </si>
  <si>
    <t xml:space="preserve">Institute for the Environment &amp; Sustainability </t>
  </si>
  <si>
    <t>ies</t>
  </si>
  <si>
    <t>Institutional Relations</t>
  </si>
  <si>
    <t>inr</t>
  </si>
  <si>
    <t>Instructional Desgn&amp;Technology</t>
  </si>
  <si>
    <t>EAID</t>
  </si>
  <si>
    <t>Instructional Design</t>
  </si>
  <si>
    <t>C012</t>
  </si>
  <si>
    <t>Instrumentation Laboratory</t>
  </si>
  <si>
    <t>inl</t>
  </si>
  <si>
    <t>Insurance Technology</t>
  </si>
  <si>
    <t>BKK</t>
  </si>
  <si>
    <t>Integrated Eng Lang Arts Edu</t>
  </si>
  <si>
    <t>EAGF</t>
  </si>
  <si>
    <t>Integrated Mathematics Edu</t>
  </si>
  <si>
    <t>Education; Mathematics</t>
  </si>
  <si>
    <t>EAGG</t>
  </si>
  <si>
    <t>Integrated Science Education</t>
  </si>
  <si>
    <t>EAIS</t>
  </si>
  <si>
    <t>Integrated Social Studies Edu</t>
  </si>
  <si>
    <t>EAGJ</t>
  </si>
  <si>
    <t>Integrative Studies</t>
  </si>
  <si>
    <t>RCIS</t>
  </si>
  <si>
    <t>BIS</t>
  </si>
  <si>
    <t>Integrative Studies - HC</t>
  </si>
  <si>
    <t>hin</t>
  </si>
  <si>
    <t>Integrative Studies - MC</t>
  </si>
  <si>
    <t>min</t>
  </si>
  <si>
    <t>Interactive Language Resource Center</t>
  </si>
  <si>
    <t>lrc</t>
  </si>
  <si>
    <t>FAET; ASIM; BUIM; C013; FAIM; EAIM; APIM; RCIM</t>
  </si>
  <si>
    <t>ims</t>
  </si>
  <si>
    <t>IMS</t>
  </si>
  <si>
    <t>Interdisc. &amp; Communication Studies</t>
  </si>
  <si>
    <t>rics</t>
  </si>
  <si>
    <t>Interdisciplinary Business Management</t>
  </si>
  <si>
    <t>BUIB</t>
  </si>
  <si>
    <t>Interdisciplinary Studies</t>
  </si>
  <si>
    <t>ISZ8; IS99</t>
  </si>
  <si>
    <t>ids</t>
  </si>
  <si>
    <t>Interior Design</t>
  </si>
  <si>
    <t>FAID</t>
  </si>
  <si>
    <t>Internal Audit &amp; Consulting Services</t>
  </si>
  <si>
    <t>int</t>
  </si>
  <si>
    <t>International Education</t>
  </si>
  <si>
    <t>Education; International Studies</t>
  </si>
  <si>
    <t>Abigail Morgan; Katie Gibson</t>
  </si>
  <si>
    <t>inp</t>
  </si>
  <si>
    <t>International Studies</t>
  </si>
  <si>
    <t>AS59</t>
  </si>
  <si>
    <t>its</t>
  </si>
  <si>
    <t>ITS</t>
  </si>
  <si>
    <t>Italian</t>
  </si>
  <si>
    <t>ASIS</t>
  </si>
  <si>
    <t>ITL</t>
  </si>
  <si>
    <t>Japanese</t>
  </si>
  <si>
    <t>JPN</t>
  </si>
  <si>
    <t>Journalism</t>
  </si>
  <si>
    <t>ASJN</t>
  </si>
  <si>
    <t>JRN</t>
  </si>
  <si>
    <t>Junior Scholars Program</t>
  </si>
  <si>
    <t>jsp</t>
  </si>
  <si>
    <t>Justice &amp; Community Studies</t>
  </si>
  <si>
    <t>rjcs</t>
  </si>
  <si>
    <t>Justice and Community Studies - HC</t>
  </si>
  <si>
    <t>hcj</t>
  </si>
  <si>
    <t>Justice and Community Studies - MC</t>
  </si>
  <si>
    <t>mcj</t>
  </si>
  <si>
    <t>Kinesiology</t>
  </si>
  <si>
    <t>EAKN; EAKU</t>
  </si>
  <si>
    <t>Kinesiology and Health - HC</t>
  </si>
  <si>
    <t>hkn</t>
  </si>
  <si>
    <t>Kinesiology and Health - MC</t>
  </si>
  <si>
    <t>mkn</t>
  </si>
  <si>
    <t>Kinesiology, Nutrition &amp; Health</t>
  </si>
  <si>
    <t>EAKH</t>
  </si>
  <si>
    <t>knh</t>
  </si>
  <si>
    <t>KNH</t>
  </si>
  <si>
    <t>Korean</t>
  </si>
  <si>
    <t>KOR</t>
  </si>
  <si>
    <t>Languages, Literatures &amp; Writing</t>
  </si>
  <si>
    <t>rllw</t>
  </si>
  <si>
    <t>Latin</t>
  </si>
  <si>
    <t>AS35; EA35</t>
  </si>
  <si>
    <t>LAT</t>
  </si>
  <si>
    <t>Latin American Studies</t>
  </si>
  <si>
    <t>ASLS</t>
  </si>
  <si>
    <t>las</t>
  </si>
  <si>
    <t>LAS</t>
  </si>
  <si>
    <t>Latin Education</t>
  </si>
  <si>
    <t>Classics; Education</t>
  </si>
  <si>
    <t>Rob O'Brien Withers; Abigail Morgan</t>
  </si>
  <si>
    <t>EAGO</t>
  </si>
  <si>
    <t>Leadership</t>
  </si>
  <si>
    <t>AP4C; C041</t>
  </si>
  <si>
    <t>Learn &amp; Behavior Disorder/Elem</t>
  </si>
  <si>
    <t>E79</t>
  </si>
  <si>
    <t>Learning Assistance</t>
  </si>
  <si>
    <t>lrn</t>
  </si>
  <si>
    <t>Liberal Arts &amp; Appl Sci - AA</t>
  </si>
  <si>
    <t>RCZ2</t>
  </si>
  <si>
    <t>Liberal Studies</t>
  </si>
  <si>
    <t>Krista McDonald; Jennifer Hicks</t>
  </si>
  <si>
    <t>RCLS</t>
  </si>
  <si>
    <t>led</t>
  </si>
  <si>
    <t>LST</t>
  </si>
  <si>
    <t>Library</t>
  </si>
  <si>
    <t>ulb</t>
  </si>
  <si>
    <t>Library - HC</t>
  </si>
  <si>
    <t>hlb</t>
  </si>
  <si>
    <t>Library - MC</t>
  </si>
  <si>
    <t>mlb</t>
  </si>
  <si>
    <t>Library/Media Education</t>
  </si>
  <si>
    <t>E77</t>
  </si>
  <si>
    <t>Library/Media Tech Assistance</t>
  </si>
  <si>
    <t>Life Science Education</t>
  </si>
  <si>
    <t>EAGR</t>
  </si>
  <si>
    <t>Life Science/Chemistry Educ</t>
  </si>
  <si>
    <t>Education; Biology</t>
  </si>
  <si>
    <t>EALC</t>
  </si>
  <si>
    <t>Life Science/Physics Education</t>
  </si>
  <si>
    <t>Education; Biology; Kinesiology, Nutrition, and Health</t>
  </si>
  <si>
    <t>EAGT</t>
  </si>
  <si>
    <t>Lifelong Learning</t>
  </si>
  <si>
    <t>lll</t>
  </si>
  <si>
    <t>Linguistics</t>
  </si>
  <si>
    <t>ASIB</t>
  </si>
  <si>
    <t>Literacy and Language</t>
  </si>
  <si>
    <t>Education; Languages</t>
  </si>
  <si>
    <t>Abigail Morgan; Katie Gibson; Rob O'Brien Withers</t>
  </si>
  <si>
    <t>EALL</t>
  </si>
  <si>
    <t>Luxembourg</t>
  </si>
  <si>
    <t>LUX</t>
  </si>
  <si>
    <t>Major Undeclared</t>
  </si>
  <si>
    <t>FA56</t>
  </si>
  <si>
    <t>BUKR</t>
  </si>
  <si>
    <t>mgt</t>
  </si>
  <si>
    <t>MGT</t>
  </si>
  <si>
    <t>Management - HC</t>
  </si>
  <si>
    <t>hmg</t>
  </si>
  <si>
    <t>Management - MC</t>
  </si>
  <si>
    <t>mmg</t>
  </si>
  <si>
    <t>Management Information Systems</t>
  </si>
  <si>
    <t>BUMK</t>
  </si>
  <si>
    <t>Management and Leadership</t>
  </si>
  <si>
    <t>BUMN</t>
  </si>
  <si>
    <t>Management and Organizations</t>
  </si>
  <si>
    <t>BUMO</t>
  </si>
  <si>
    <t>Managing Extended Enterprise</t>
  </si>
  <si>
    <t>BUME</t>
  </si>
  <si>
    <t>Manufacturing Engineering</t>
  </si>
  <si>
    <t>Mechanical and Manufacturing Engineering</t>
  </si>
  <si>
    <t>AP84</t>
  </si>
  <si>
    <t>Manufacturing Foundations</t>
  </si>
  <si>
    <t>RC2C</t>
  </si>
  <si>
    <t>Manufacturing Technology 2 YR</t>
  </si>
  <si>
    <t>3PN</t>
  </si>
  <si>
    <t>Manufacturing/Indust EGR Teh</t>
  </si>
  <si>
    <t>3PH</t>
  </si>
  <si>
    <t>Marketing</t>
  </si>
  <si>
    <t>BU36</t>
  </si>
  <si>
    <t>mkt</t>
  </si>
  <si>
    <t>MKT</t>
  </si>
  <si>
    <t>Marketing - HC</t>
  </si>
  <si>
    <t>hmk</t>
  </si>
  <si>
    <t>Marketing - MC</t>
  </si>
  <si>
    <t>mmk</t>
  </si>
  <si>
    <t>Marketing Management Tech</t>
  </si>
  <si>
    <t>BUK3; RCK3</t>
  </si>
  <si>
    <t>Mass Communication</t>
  </si>
  <si>
    <t>AS69</t>
  </si>
  <si>
    <t>msc</t>
  </si>
  <si>
    <t>Math/Science/EDT Coordinator - MC</t>
  </si>
  <si>
    <t>mms</t>
  </si>
  <si>
    <t>Mathematical &amp; Physical Science</t>
  </si>
  <si>
    <t>rmps</t>
  </si>
  <si>
    <t>ASII; EAII</t>
  </si>
  <si>
    <t>mth</t>
  </si>
  <si>
    <t>MTH</t>
  </si>
  <si>
    <t>Mathematics &amp; Statistics</t>
  </si>
  <si>
    <t>Mathematics; Statistics</t>
  </si>
  <si>
    <t>AS37</t>
  </si>
  <si>
    <t>Mathematics - HC</t>
  </si>
  <si>
    <t>hmt</t>
  </si>
  <si>
    <t>Mathematics - MC</t>
  </si>
  <si>
    <t>mmt</t>
  </si>
  <si>
    <t>McGuffey Museum</t>
  </si>
  <si>
    <t>mcg</t>
  </si>
  <si>
    <t>Mechanical Engineering</t>
  </si>
  <si>
    <t>APME</t>
  </si>
  <si>
    <t>Mechanical Engineering Tech</t>
  </si>
  <si>
    <t>APPC; RCPC</t>
  </si>
  <si>
    <t>mme</t>
  </si>
  <si>
    <t>MME</t>
  </si>
  <si>
    <t>Media and Culture</t>
  </si>
  <si>
    <t>ASMC</t>
  </si>
  <si>
    <t>MAC</t>
  </si>
  <si>
    <t>Media and Sport Management</t>
  </si>
  <si>
    <t>Media, Journalism, and Film; Sports Leadership and Management</t>
  </si>
  <si>
    <t>Media, Journalism and Film</t>
  </si>
  <si>
    <t>com; jrn; mjf</t>
  </si>
  <si>
    <t>MJF</t>
  </si>
  <si>
    <t>Medical Laboratory Science</t>
  </si>
  <si>
    <t>Biology; Microbiology</t>
  </si>
  <si>
    <t>ASML</t>
  </si>
  <si>
    <t>Medical Office Management</t>
  </si>
  <si>
    <t>BU1D</t>
  </si>
  <si>
    <t>Medical Technology</t>
  </si>
  <si>
    <t>A92; AMT</t>
  </si>
  <si>
    <t>Metallurigical EGR Technology</t>
  </si>
  <si>
    <t>Miami University Bookstore</t>
  </si>
  <si>
    <t>ubk</t>
  </si>
  <si>
    <t>Microbiology</t>
  </si>
  <si>
    <t>AS05</t>
  </si>
  <si>
    <t>mbi</t>
  </si>
  <si>
    <t>MBI</t>
  </si>
  <si>
    <t>Microbiology - HC</t>
  </si>
  <si>
    <t>hmi</t>
  </si>
  <si>
    <t>Microbiology - MC</t>
  </si>
  <si>
    <t>mmi</t>
  </si>
  <si>
    <t>Middle Childhood Education</t>
  </si>
  <si>
    <t>EAGV</t>
  </si>
  <si>
    <t>Middletown Bookstore</t>
  </si>
  <si>
    <t>mmb</t>
  </si>
  <si>
    <t>Middletown Campus - MC</t>
  </si>
  <si>
    <t>mid</t>
  </si>
  <si>
    <t>Military Science</t>
  </si>
  <si>
    <t>MSC</t>
  </si>
  <si>
    <t>Mineralogy</t>
  </si>
  <si>
    <t>A64</t>
  </si>
  <si>
    <t>ASJA; FAJA</t>
  </si>
  <si>
    <t>mus</t>
  </si>
  <si>
    <t>MUS</t>
  </si>
  <si>
    <t>Music - HC</t>
  </si>
  <si>
    <t>hmu</t>
  </si>
  <si>
    <t>Music - MC</t>
  </si>
  <si>
    <t>mmu</t>
  </si>
  <si>
    <t>Music Composition</t>
  </si>
  <si>
    <t>FND; FAMC</t>
  </si>
  <si>
    <t>Music Education</t>
  </si>
  <si>
    <t>Music; Education</t>
  </si>
  <si>
    <t>Barry Zaslow; Abigail Morgan</t>
  </si>
  <si>
    <t>FA39</t>
  </si>
  <si>
    <t>Music Education Supervision</t>
  </si>
  <si>
    <t>FNS</t>
  </si>
  <si>
    <t>Music Library</t>
  </si>
  <si>
    <t>Music; Library</t>
  </si>
  <si>
    <t>ulm</t>
  </si>
  <si>
    <t>Music Performance</t>
  </si>
  <si>
    <t>FA38</t>
  </si>
  <si>
    <t>Music Theory</t>
  </si>
  <si>
    <t>FNT</t>
  </si>
  <si>
    <t>Music Theory &amp; Composition</t>
  </si>
  <si>
    <t>FNB</t>
  </si>
  <si>
    <t>Musicology</t>
  </si>
  <si>
    <t>FNM</t>
  </si>
  <si>
    <t>Myaamia Center</t>
  </si>
  <si>
    <t>History; Anthropology</t>
  </si>
  <si>
    <t>Jenny Presnell; Abigail Morgan</t>
  </si>
  <si>
    <t>mya</t>
  </si>
  <si>
    <t>Nat Sci  &amp; Mathematics - AA</t>
  </si>
  <si>
    <t>ASZ8</t>
  </si>
  <si>
    <t>Natural Science - AA</t>
  </si>
  <si>
    <t>ASZ6</t>
  </si>
  <si>
    <t>Naval Science</t>
  </si>
  <si>
    <t>nsc</t>
  </si>
  <si>
    <t>NSC</t>
  </si>
  <si>
    <t>Network Services Enterprise</t>
  </si>
  <si>
    <t>nse</t>
  </si>
  <si>
    <t>Neuroscience</t>
  </si>
  <si>
    <t>Ginny Boehme; Megan Jaskowiak</t>
  </si>
  <si>
    <t>APNS; BUNS; RCNS; FANS; EANS; ASNS</t>
  </si>
  <si>
    <t>Non Credit</t>
  </si>
  <si>
    <t>NC00</t>
  </si>
  <si>
    <t>Non Credit ELC</t>
  </si>
  <si>
    <t>NC01</t>
  </si>
  <si>
    <t>Non-Matriculated</t>
  </si>
  <si>
    <t>Nonprofit and Community Studies</t>
  </si>
  <si>
    <t>RCNC</t>
  </si>
  <si>
    <t>NCS</t>
  </si>
  <si>
    <t>Nursing</t>
  </si>
  <si>
    <t>Krista McDonald; Ginny Boehme</t>
  </si>
  <si>
    <t>AP71; RCN4; APN4; RC71; RCPR; APPR</t>
  </si>
  <si>
    <t>rnsg</t>
  </si>
  <si>
    <t>NSG</t>
  </si>
  <si>
    <t>Nursing - HC</t>
  </si>
  <si>
    <t>hnr</t>
  </si>
  <si>
    <t>Nursing - MC</t>
  </si>
  <si>
    <t>mnr</t>
  </si>
  <si>
    <t>Nursing Practice</t>
  </si>
  <si>
    <t>RCND</t>
  </si>
  <si>
    <t>Nutrition</t>
  </si>
  <si>
    <t>EANU</t>
  </si>
  <si>
    <t>Ofc of Intl Transfer &amp; Strat Progs</t>
  </si>
  <si>
    <t>iet</t>
  </si>
  <si>
    <t>Office Administration</t>
  </si>
  <si>
    <t>Office Management Technology</t>
  </si>
  <si>
    <t>BU48; RC48</t>
  </si>
  <si>
    <t>Office Of Admission</t>
  </si>
  <si>
    <t>ads</t>
  </si>
  <si>
    <t>Office Of Residence Life</t>
  </si>
  <si>
    <t>rsl</t>
  </si>
  <si>
    <t>Office Of The President</t>
  </si>
  <si>
    <t>pre</t>
  </si>
  <si>
    <t>Office Of The Registrar</t>
  </si>
  <si>
    <t>reg</t>
  </si>
  <si>
    <t>Office of Diversity Affairs</t>
  </si>
  <si>
    <t>oda</t>
  </si>
  <si>
    <t>Office of Enrollment Operations</t>
  </si>
  <si>
    <t>eop</t>
  </si>
  <si>
    <t>Office of Institutional Research</t>
  </si>
  <si>
    <t>oir</t>
  </si>
  <si>
    <t>Office of New Student Programs</t>
  </si>
  <si>
    <t>sor</t>
  </si>
  <si>
    <t>Office of eLearning</t>
  </si>
  <si>
    <t>alt</t>
  </si>
  <si>
    <t>One Stop Services</t>
  </si>
  <si>
    <t>oss</t>
  </si>
  <si>
    <t>Operations Management</t>
  </si>
  <si>
    <t>BUKP</t>
  </si>
  <si>
    <t>Organizational Administration</t>
  </si>
  <si>
    <t>B33; B34</t>
  </si>
  <si>
    <t>Organizational Behavior</t>
  </si>
  <si>
    <t>Psychology; Management</t>
  </si>
  <si>
    <t>Megan Jaskowiak; Erica Freed</t>
  </si>
  <si>
    <t>BU33</t>
  </si>
  <si>
    <t>Organizational Leadership</t>
  </si>
  <si>
    <t>ASOL; BU34</t>
  </si>
  <si>
    <t>ORG</t>
  </si>
  <si>
    <t>Outdoor Leadership</t>
  </si>
  <si>
    <t>EA2C</t>
  </si>
  <si>
    <t>Paper Science and Engineering</t>
  </si>
  <si>
    <t>AP72; AP3C; AS72</t>
  </si>
  <si>
    <t>PCE; CPE</t>
  </si>
  <si>
    <t>Parking Services</t>
  </si>
  <si>
    <t>prk</t>
  </si>
  <si>
    <t>Payroll</t>
  </si>
  <si>
    <t>pay</t>
  </si>
  <si>
    <t>Performance,Theatre &amp; Practice</t>
  </si>
  <si>
    <t>FAPT</t>
  </si>
  <si>
    <t>Performing Arts Series</t>
  </si>
  <si>
    <t>pas</t>
  </si>
  <si>
    <t>Personnel &amp; Employ Relations</t>
  </si>
  <si>
    <t>BKO</t>
  </si>
  <si>
    <t>Personnel &amp; Employment Relatns</t>
  </si>
  <si>
    <t>BAI</t>
  </si>
  <si>
    <t>Personnel Management</t>
  </si>
  <si>
    <t>BAH</t>
  </si>
  <si>
    <t>Personnel Serv &amp; Counseling</t>
  </si>
  <si>
    <t>EAK</t>
  </si>
  <si>
    <t>Philosophy</t>
  </si>
  <si>
    <t>AS42</t>
  </si>
  <si>
    <t>phl</t>
  </si>
  <si>
    <t>PHL</t>
  </si>
  <si>
    <t>Philosophy - HC</t>
  </si>
  <si>
    <t>hpl</t>
  </si>
  <si>
    <t>Philosophy - MC</t>
  </si>
  <si>
    <t>mpl</t>
  </si>
  <si>
    <t>Physical Education</t>
  </si>
  <si>
    <t>EA43; EALZ</t>
  </si>
  <si>
    <t>Physical Facilities</t>
  </si>
  <si>
    <t>pfd</t>
  </si>
  <si>
    <t>Physical Facilities - Regional Campus - HC</t>
  </si>
  <si>
    <t>hpf</t>
  </si>
  <si>
    <t>Physical Facilities - Regional Campus - MC</t>
  </si>
  <si>
    <t>mpf</t>
  </si>
  <si>
    <t>Physical Facilities Maintenance</t>
  </si>
  <si>
    <t>ops</t>
  </si>
  <si>
    <t>Physical Science Education</t>
  </si>
  <si>
    <t>EAGU</t>
  </si>
  <si>
    <t>Physician Associate Studies</t>
  </si>
  <si>
    <t>ASPA</t>
  </si>
  <si>
    <t>PAS</t>
  </si>
  <si>
    <t>Physics</t>
  </si>
  <si>
    <t>AS45; EA45</t>
  </si>
  <si>
    <t>phy</t>
  </si>
  <si>
    <t>PHY</t>
  </si>
  <si>
    <t>Physics - HC</t>
  </si>
  <si>
    <t>hph</t>
  </si>
  <si>
    <t>Physics - MC</t>
  </si>
  <si>
    <t>mph</t>
  </si>
  <si>
    <t>Planning, Architecture &amp; Engineering</t>
  </si>
  <si>
    <t>Art and Architecture; Engineering</t>
  </si>
  <si>
    <t>Stefanie Hilles; Kristen Adams; Roger Justus</t>
  </si>
  <si>
    <t>pae</t>
  </si>
  <si>
    <t>AS26</t>
  </si>
  <si>
    <t>pol</t>
  </si>
  <si>
    <t>POL</t>
  </si>
  <si>
    <t>Political Science - HC</t>
  </si>
  <si>
    <t>hpo</t>
  </si>
  <si>
    <t>Political Science - MC</t>
  </si>
  <si>
    <t>mpo</t>
  </si>
  <si>
    <t>Population and Social Gerontology</t>
  </si>
  <si>
    <t>ASPS</t>
  </si>
  <si>
    <t>Portuguese</t>
  </si>
  <si>
    <t>Spanish and Portuguese</t>
  </si>
  <si>
    <t>POR</t>
  </si>
  <si>
    <t>Pre Journalism</t>
  </si>
  <si>
    <t>ASPJ</t>
  </si>
  <si>
    <t>Pre-Engineering Physics</t>
  </si>
  <si>
    <t>AEP</t>
  </si>
  <si>
    <t>Pre-Kindergarten</t>
  </si>
  <si>
    <t>EAPK</t>
  </si>
  <si>
    <t>Pre-Kindergarten Education</t>
  </si>
  <si>
    <t>EAMP</t>
  </si>
  <si>
    <t>Pre-Law Studies</t>
  </si>
  <si>
    <t>Government and Law</t>
  </si>
  <si>
    <t>PLW</t>
  </si>
  <si>
    <t>Premedical Studies</t>
  </si>
  <si>
    <t>Biology; Kinesiology, Nutrition, and Health</t>
  </si>
  <si>
    <t>APPM; ASPM; BUPM; EAPM; FAPM; RCPM</t>
  </si>
  <si>
    <t>PMD</t>
  </si>
  <si>
    <t>Primary Education PK-5</t>
  </si>
  <si>
    <t>EAP5</t>
  </si>
  <si>
    <t>Principal Licensure</t>
  </si>
  <si>
    <t>C036</t>
  </si>
  <si>
    <t>Production &amp; Decision Sciences</t>
  </si>
  <si>
    <t>B41; BKT</t>
  </si>
  <si>
    <t>Production &amp; Operations Mgt</t>
  </si>
  <si>
    <t>BKP; BKS</t>
  </si>
  <si>
    <t>Prof Studies &amp; Appl Sci - AA</t>
  </si>
  <si>
    <t>RCZ1</t>
  </si>
  <si>
    <t>CPS</t>
  </si>
  <si>
    <t>Provost</t>
  </si>
  <si>
    <t>aao</t>
  </si>
  <si>
    <t>Psychological Science</t>
  </si>
  <si>
    <t>RCPS</t>
  </si>
  <si>
    <t>PSS</t>
  </si>
  <si>
    <t>AS47</t>
  </si>
  <si>
    <t>psy</t>
  </si>
  <si>
    <t>PSY</t>
  </si>
  <si>
    <t>Psychology - HC</t>
  </si>
  <si>
    <t>hps</t>
  </si>
  <si>
    <t>Psychology - MC</t>
  </si>
  <si>
    <t>mps</t>
  </si>
  <si>
    <t>Psychology/Type 3/Business</t>
  </si>
  <si>
    <t>Psychology; Business</t>
  </si>
  <si>
    <t>Megan Jaskowiak; Abigail Morgan; Erica Freed</t>
  </si>
  <si>
    <t>Public Administration</t>
  </si>
  <si>
    <t>AS65</t>
  </si>
  <si>
    <t>Public Health</t>
  </si>
  <si>
    <t>Health Communication; Kinesiology, Nutrition, and Health</t>
  </si>
  <si>
    <t>Jennifer Hicks; Ginny Boehme</t>
  </si>
  <si>
    <t>ASPH; EAPH</t>
  </si>
  <si>
    <t>Public Relations - HC</t>
  </si>
  <si>
    <t>hpr</t>
  </si>
  <si>
    <t>Public Relations - MC</t>
  </si>
  <si>
    <t>mpr</t>
  </si>
  <si>
    <t>Pulp and Paper Technology</t>
  </si>
  <si>
    <t>380; A80</t>
  </si>
  <si>
    <t>Purchasing Management</t>
  </si>
  <si>
    <t>BKQ</t>
  </si>
  <si>
    <t>Purchasing/Procurement Mgt</t>
  </si>
  <si>
    <t>BUKQ</t>
  </si>
  <si>
    <t>Quality &amp; Process Improvement</t>
  </si>
  <si>
    <t>BUML</t>
  </si>
  <si>
    <t>Quant Data Analysis in Edu&amp;SS</t>
  </si>
  <si>
    <t>C014</t>
  </si>
  <si>
    <t>Quantitative Economics</t>
  </si>
  <si>
    <t>ASQE</t>
  </si>
  <si>
    <t>Radiologic Technology</t>
  </si>
  <si>
    <t>APRT; ASRT</t>
  </si>
  <si>
    <t>Reading Education</t>
  </si>
  <si>
    <t>EA50</t>
  </si>
  <si>
    <t>Real Estate Technology</t>
  </si>
  <si>
    <t>BKN</t>
  </si>
  <si>
    <t>Records Management</t>
  </si>
  <si>
    <t>BU9C</t>
  </si>
  <si>
    <t>Recreation Educ &amp; Programming</t>
  </si>
  <si>
    <t>EAMH</t>
  </si>
  <si>
    <t>Recreational Sports Center</t>
  </si>
  <si>
    <t>rsp</t>
  </si>
  <si>
    <t>Regl Academic Affairs</t>
  </si>
  <si>
    <t>raa</t>
  </si>
  <si>
    <t>Regl Academic Programs</t>
  </si>
  <si>
    <t>rap</t>
  </si>
  <si>
    <t>Regl Business Services</t>
  </si>
  <si>
    <t>rbs</t>
  </si>
  <si>
    <t>Regl Campuses Central</t>
  </si>
  <si>
    <t>rcc</t>
  </si>
  <si>
    <t>Regl Centers</t>
  </si>
  <si>
    <t>rct</t>
  </si>
  <si>
    <t>Regl Dean's Office</t>
  </si>
  <si>
    <t>rdo</t>
  </si>
  <si>
    <t>Regl Development</t>
  </si>
  <si>
    <t>rde</t>
  </si>
  <si>
    <t>Regl Diversity &amp; Student Support</t>
  </si>
  <si>
    <t>rds</t>
  </si>
  <si>
    <t>Regl Enrollment &amp; Admissions</t>
  </si>
  <si>
    <t>rem</t>
  </si>
  <si>
    <t>Regl Financial Assistance</t>
  </si>
  <si>
    <t>rfa</t>
  </si>
  <si>
    <t>Regl IT Support</t>
  </si>
  <si>
    <t>rit</t>
  </si>
  <si>
    <t>Regl Libraries</t>
  </si>
  <si>
    <t>rlb</t>
  </si>
  <si>
    <t>Regl Physical Facilities</t>
  </si>
  <si>
    <t>rpf</t>
  </si>
  <si>
    <t>Regl Public Relations</t>
  </si>
  <si>
    <t>rpr</t>
  </si>
  <si>
    <t>Regl Public Safety</t>
  </si>
  <si>
    <t>rps</t>
  </si>
  <si>
    <t>Regl Student Services</t>
  </si>
  <si>
    <t>rss</t>
  </si>
  <si>
    <t>Religion</t>
  </si>
  <si>
    <t>AS66</t>
  </si>
  <si>
    <t>rel</t>
  </si>
  <si>
    <t>REL</t>
  </si>
  <si>
    <t>Retailing</t>
  </si>
  <si>
    <t>EAMJ</t>
  </si>
  <si>
    <t>Robotics Engineering</t>
  </si>
  <si>
    <t>Computer Science and Engineering; Engineering</t>
  </si>
  <si>
    <t>APRE</t>
  </si>
  <si>
    <t>Russian</t>
  </si>
  <si>
    <t>Russian, Eastern European, and Eurasian Studies</t>
  </si>
  <si>
    <t>AS74; EA74</t>
  </si>
  <si>
    <t>RUS</t>
  </si>
  <si>
    <t>Russian,East Eur &amp; Eurasian St</t>
  </si>
  <si>
    <t>C015; ASRE</t>
  </si>
  <si>
    <t>Sales Management</t>
  </si>
  <si>
    <t>RCSM</t>
  </si>
  <si>
    <t>School Leadership</t>
  </si>
  <si>
    <t>EASL</t>
  </si>
  <si>
    <t>School Psychology</t>
  </si>
  <si>
    <t>EA73</t>
  </si>
  <si>
    <t>School of Creative Arts</t>
  </si>
  <si>
    <t>SCA</t>
  </si>
  <si>
    <t>Science</t>
  </si>
  <si>
    <t>E95</t>
  </si>
  <si>
    <t>Scripps Foundation</t>
  </si>
  <si>
    <t>scr</t>
  </si>
  <si>
    <t>Secondary Education</t>
  </si>
  <si>
    <t>EA16</t>
  </si>
  <si>
    <t>Secondary Mathematics Edu</t>
  </si>
  <si>
    <t>EAMS</t>
  </si>
  <si>
    <t>Secondary School Principal</t>
  </si>
  <si>
    <t>E62</t>
  </si>
  <si>
    <t>Secretarial Science</t>
  </si>
  <si>
    <t>3AE; BAE</t>
  </si>
  <si>
    <t>Secretary Of The University</t>
  </si>
  <si>
    <t>sec</t>
  </si>
  <si>
    <t>Small Bus Mgt Technology Pgm</t>
  </si>
  <si>
    <t>BU6C</t>
  </si>
  <si>
    <t>Small Business Management</t>
  </si>
  <si>
    <t>RCSB</t>
  </si>
  <si>
    <t>Small Office Mgt Technical Pgm</t>
  </si>
  <si>
    <t>BU7C</t>
  </si>
  <si>
    <t>Social &amp; Behavioral Science</t>
  </si>
  <si>
    <t>rsbs</t>
  </si>
  <si>
    <t>Social Entrepreneurship</t>
  </si>
  <si>
    <t>BU4D</t>
  </si>
  <si>
    <t>Social Justice Studies</t>
  </si>
  <si>
    <t>ASSJ</t>
  </si>
  <si>
    <t>SJS</t>
  </si>
  <si>
    <t>Social Science - AA</t>
  </si>
  <si>
    <t>ASZ7</t>
  </si>
  <si>
    <t>Social Science Coordinator - MC</t>
  </si>
  <si>
    <t>mss</t>
  </si>
  <si>
    <t>Social Studies Education</t>
  </si>
  <si>
    <t>EA83</t>
  </si>
  <si>
    <t>Social Work</t>
  </si>
  <si>
    <t>ASSW; EASW</t>
  </si>
  <si>
    <t>Sociology</t>
  </si>
  <si>
    <t>AS51</t>
  </si>
  <si>
    <t>SOC</t>
  </si>
  <si>
    <t>Sociology &amp; Gerontology</t>
  </si>
  <si>
    <t>Sociology; Gerontology</t>
  </si>
  <si>
    <t>ASSG</t>
  </si>
  <si>
    <t>sga</t>
  </si>
  <si>
    <t>Sociology &amp; Gerontology - HC</t>
  </si>
  <si>
    <t>hsa</t>
  </si>
  <si>
    <t>Sociology &amp; Gerontology - MC</t>
  </si>
  <si>
    <t>msa</t>
  </si>
  <si>
    <t>Sociology and Gerontology</t>
  </si>
  <si>
    <t>SGA</t>
  </si>
  <si>
    <t>Software Engineering</t>
  </si>
  <si>
    <t>APSE</t>
  </si>
  <si>
    <t>Spanish</t>
  </si>
  <si>
    <t>AS52; EA52</t>
  </si>
  <si>
    <t>SPN</t>
  </si>
  <si>
    <t>Spanish And Portuguese - HC</t>
  </si>
  <si>
    <t>hsp</t>
  </si>
  <si>
    <t>Spanish And Portuguese - MC</t>
  </si>
  <si>
    <t>msp</t>
  </si>
  <si>
    <t>Spanish Education</t>
  </si>
  <si>
    <t>Spanish and Portuguese; Education</t>
  </si>
  <si>
    <t>EAGQ</t>
  </si>
  <si>
    <t>SPO</t>
  </si>
  <si>
    <t>Special Education</t>
  </si>
  <si>
    <t>Education; Educational Psychology</t>
  </si>
  <si>
    <t>EA67; EAGW</t>
  </si>
  <si>
    <t>Speech Communication</t>
  </si>
  <si>
    <t>ASCP PM; ASSC</t>
  </si>
  <si>
    <t>spc</t>
  </si>
  <si>
    <t>Speech Education</t>
  </si>
  <si>
    <t>ELM</t>
  </si>
  <si>
    <t>Speech Lang Path &amp; Audiology</t>
  </si>
  <si>
    <t>EAGX</t>
  </si>
  <si>
    <t>Speech Path &amp; Audiology</t>
  </si>
  <si>
    <t>ASJB; AS4C</t>
  </si>
  <si>
    <t>spp</t>
  </si>
  <si>
    <t>SPA</t>
  </si>
  <si>
    <t>Speech Pathology</t>
  </si>
  <si>
    <t>AJC</t>
  </si>
  <si>
    <t>Speech and Hearing Therapy</t>
  </si>
  <si>
    <t>E54</t>
  </si>
  <si>
    <t>Speech-Language Pathology</t>
  </si>
  <si>
    <t>ASJD</t>
  </si>
  <si>
    <t>Speech/Language Pathology</t>
  </si>
  <si>
    <t>EAJD</t>
  </si>
  <si>
    <t>Sport Analytics</t>
  </si>
  <si>
    <t>Sports Leadership and Management; Statistics</t>
  </si>
  <si>
    <t>Nate Floyd; Roger Justus</t>
  </si>
  <si>
    <t>EA6C; C029; EASN</t>
  </si>
  <si>
    <t>Sport Management</t>
  </si>
  <si>
    <t>Sports Leadership and Management</t>
  </si>
  <si>
    <t>C016; EAS1</t>
  </si>
  <si>
    <t>Sport Organization</t>
  </si>
  <si>
    <t>EASP</t>
  </si>
  <si>
    <t>Sport Psychology</t>
  </si>
  <si>
    <t>Psychology; Sports Leadership and Management</t>
  </si>
  <si>
    <t>Megan Jaskowiak; Nate Floyd</t>
  </si>
  <si>
    <t>C017</t>
  </si>
  <si>
    <t>Sport Studies</t>
  </si>
  <si>
    <t>EASR</t>
  </si>
  <si>
    <t>Sports Coaching</t>
  </si>
  <si>
    <t>Sports Communication</t>
  </si>
  <si>
    <t>EASM</t>
  </si>
  <si>
    <t>slm</t>
  </si>
  <si>
    <t>SLM</t>
  </si>
  <si>
    <t>StartUp Entrepreneurship</t>
  </si>
  <si>
    <t>BU3D</t>
  </si>
  <si>
    <t>ASIP</t>
  </si>
  <si>
    <t>sta</t>
  </si>
  <si>
    <t>STA</t>
  </si>
  <si>
    <t>Statistics - HC</t>
  </si>
  <si>
    <t>hsi</t>
  </si>
  <si>
    <t>Statistics - MC</t>
  </si>
  <si>
    <t>msi</t>
  </si>
  <si>
    <t>ASST</t>
  </si>
  <si>
    <t>STC</t>
  </si>
  <si>
    <t>Student Activities</t>
  </si>
  <si>
    <t>sac</t>
  </si>
  <si>
    <t>Student Activities &amp; Athletics - MC</t>
  </si>
  <si>
    <t>maa</t>
  </si>
  <si>
    <t>Student Affairs in Higher Educ</t>
  </si>
  <si>
    <t>EASA</t>
  </si>
  <si>
    <t>Student Counseling Service</t>
  </si>
  <si>
    <t>scs</t>
  </si>
  <si>
    <t>Student Disability Services</t>
  </si>
  <si>
    <t>sds</t>
  </si>
  <si>
    <t>Student Financial Assistance</t>
  </si>
  <si>
    <t>sfa</t>
  </si>
  <si>
    <t>Student Health Services</t>
  </si>
  <si>
    <t>shs</t>
  </si>
  <si>
    <t>Student Life</t>
  </si>
  <si>
    <t>vps</t>
  </si>
  <si>
    <t>Student Services - MC</t>
  </si>
  <si>
    <t>msv</t>
  </si>
  <si>
    <t>Student Services-Hamilton Campus</t>
  </si>
  <si>
    <t>hsv</t>
  </si>
  <si>
    <t>Student Success Center</t>
  </si>
  <si>
    <t>ssc</t>
  </si>
  <si>
    <t>Superintendent Licensure</t>
  </si>
  <si>
    <t>C037</t>
  </si>
  <si>
    <t>Supply Chain Management</t>
  </si>
  <si>
    <t>Management; Business</t>
  </si>
  <si>
    <t>Erica Freed; Abigail Morgan</t>
  </si>
  <si>
    <t>BUSP</t>
  </si>
  <si>
    <t>Supply Chain and Operations Management</t>
  </si>
  <si>
    <t>BUSO</t>
  </si>
  <si>
    <t>Supt and Central Office Admin</t>
  </si>
  <si>
    <t>E61</t>
  </si>
  <si>
    <t>Sustainability</t>
  </si>
  <si>
    <t>APSU; BUSU; RCSU; FASU; EASU; ASSU</t>
  </si>
  <si>
    <t>Systems Analysis</t>
  </si>
  <si>
    <t>AP89</t>
  </si>
  <si>
    <t>Teacher Education</t>
  </si>
  <si>
    <t>edt</t>
  </si>
  <si>
    <t>EDT</t>
  </si>
  <si>
    <t>Teacher Education - HC</t>
  </si>
  <si>
    <t>hte</t>
  </si>
  <si>
    <t>Teacher Education - MC</t>
  </si>
  <si>
    <t>mte</t>
  </si>
  <si>
    <t>Teaching English Lang Learners</t>
  </si>
  <si>
    <t>EA1C</t>
  </si>
  <si>
    <t>Tech &amp; Scientific Comm</t>
  </si>
  <si>
    <t>ASIG</t>
  </si>
  <si>
    <t>Technical Study</t>
  </si>
  <si>
    <t>APTS; RCTS</t>
  </si>
  <si>
    <t>Telecommunications</t>
  </si>
  <si>
    <t>tlc</t>
  </si>
  <si>
    <t>Textiles and Clothing</t>
  </si>
  <si>
    <t>ELP</t>
  </si>
  <si>
    <t>The Office of Strategic Procurement</t>
  </si>
  <si>
    <t>pur</t>
  </si>
  <si>
    <t>AS86; FA86</t>
  </si>
  <si>
    <t>the</t>
  </si>
  <si>
    <t>THE</t>
  </si>
  <si>
    <t>Theatre - HC</t>
  </si>
  <si>
    <t>htr</t>
  </si>
  <si>
    <t>Theatre - MC</t>
  </si>
  <si>
    <t>mtr</t>
  </si>
  <si>
    <t>Theatre and Practice</t>
  </si>
  <si>
    <t>FATP</t>
  </si>
  <si>
    <t>Transformative Education</t>
  </si>
  <si>
    <t>EATL</t>
  </si>
  <si>
    <t>Treasury Services</t>
  </si>
  <si>
    <t>trs</t>
  </si>
  <si>
    <t>Trucking &amp; Special Services</t>
  </si>
  <si>
    <t>tss</t>
  </si>
  <si>
    <t>Undecided Major and College</t>
  </si>
  <si>
    <t>Undeclared - Applied Science</t>
  </si>
  <si>
    <t>AP56</t>
  </si>
  <si>
    <t>Undeclared - Arts &amp; Science</t>
  </si>
  <si>
    <t>AS56</t>
  </si>
  <si>
    <t>Undeclared - Business</t>
  </si>
  <si>
    <t>BU56</t>
  </si>
  <si>
    <t>Undeclared - Education</t>
  </si>
  <si>
    <t>EA56</t>
  </si>
  <si>
    <t>University Advancement</t>
  </si>
  <si>
    <t>urv</t>
  </si>
  <si>
    <t>University Budget and Institutional Research</t>
  </si>
  <si>
    <t>bir</t>
  </si>
  <si>
    <t>University Communications &amp; Marketing</t>
  </si>
  <si>
    <t>Strategic Communication; Educational Leadership</t>
  </si>
  <si>
    <t>Mark Dahlquist; Jaclyn Spraetz</t>
  </si>
  <si>
    <t>ucm</t>
  </si>
  <si>
    <t>University Mail Services</t>
  </si>
  <si>
    <t>mrm</t>
  </si>
  <si>
    <t>University Studies</t>
  </si>
  <si>
    <t>RCU4; ASUS; ASU5; ASU4; ASU3; ASU2; ASU1; 00US</t>
  </si>
  <si>
    <t>UNV</t>
  </si>
  <si>
    <t>Urban and Regional Planning</t>
  </si>
  <si>
    <t>AS94</t>
  </si>
  <si>
    <t>Utilities Enterprise</t>
  </si>
  <si>
    <t>uea</t>
  </si>
  <si>
    <t>VP For Finance &amp; Business Services</t>
  </si>
  <si>
    <t>Finance; Educational Leadership</t>
  </si>
  <si>
    <t>fus</t>
  </si>
  <si>
    <t>Voice of America Learning Center</t>
  </si>
  <si>
    <t>voa</t>
  </si>
  <si>
    <t>Western College Alumnae Association</t>
  </si>
  <si>
    <t>Educational Leadership; Women's Gender and Sexuality Studies</t>
  </si>
  <si>
    <t>Jaclyn Spraetz; Jenny Presnell</t>
  </si>
  <si>
    <t>wca</t>
  </si>
  <si>
    <t>Western Program</t>
  </si>
  <si>
    <t>wcp</t>
  </si>
  <si>
    <t>WST</t>
  </si>
  <si>
    <t>Wmub</t>
  </si>
  <si>
    <t>mub</t>
  </si>
  <si>
    <t>Women's Center</t>
  </si>
  <si>
    <t>Women's Gender and Sexuality Studies</t>
  </si>
  <si>
    <t>wmc</t>
  </si>
  <si>
    <t>Women's Studies</t>
  </si>
  <si>
    <t>ASWS</t>
  </si>
  <si>
    <t>Women's, Gender and Sexuality Studies</t>
  </si>
  <si>
    <t>ASWG; C018</t>
  </si>
  <si>
    <t>wms</t>
  </si>
  <si>
    <t>WGS</t>
  </si>
  <si>
    <t>Zoology</t>
  </si>
  <si>
    <t>AS55</t>
  </si>
  <si>
    <t>ZOO</t>
  </si>
  <si>
    <t>Zoology - HC</t>
  </si>
  <si>
    <t>hzo</t>
  </si>
  <si>
    <t>Zoology - MC</t>
  </si>
  <si>
    <t>mzo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</si>
</sst>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sz val="11.0"/>
      <color theme="1"/>
      <name val="Calibri"/>
    </font>
    <font>
      <sz val="11.0"/>
      <color rgb="FF000000"/>
      <name val="&quot;Aptos Narrow&quot;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C0C0C0"/>
        <bgColor rgb="FFC0C0C0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readingOrder="0" vertical="top"/>
    </xf>
    <xf borderId="0" fillId="2" fontId="2" numFmtId="0" xfId="0" applyFont="1"/>
    <xf borderId="0" fillId="3" fontId="3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vertical="top"/>
    </xf>
    <xf borderId="0" fillId="0" fontId="1" numFmtId="0" xfId="0" applyFont="1"/>
    <xf borderId="0" fillId="4" fontId="5" numFmtId="0" xfId="0" applyAlignment="1" applyFill="1" applyFont="1">
      <alignment readingOrder="0" vertical="top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1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13"/>
    <col customWidth="1" min="2" max="2" width="46.88"/>
    <col customWidth="1" min="3" max="3" width="38.63"/>
    <col customWidth="1" min="4" max="4" width="21.0"/>
    <col customWidth="1" min="5" max="5" width="18.38"/>
    <col customWidth="1" min="7" max="7" width="51.63"/>
  </cols>
  <sheetData>
    <row r="1">
      <c r="A1" s="2" t="s">
        <v>1</v>
      </c>
      <c r="B1" s="2" t="s">
        <v>8</v>
      </c>
      <c r="C1" s="2" t="s">
        <v>10</v>
      </c>
      <c r="D1" s="2" t="s">
        <v>11</v>
      </c>
      <c r="E1" s="2" t="s">
        <v>15</v>
      </c>
      <c r="F1" s="2" t="s">
        <v>17</v>
      </c>
      <c r="G1" s="2" t="s">
        <v>20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34</v>
      </c>
      <c r="B2" s="1" t="s">
        <v>36</v>
      </c>
      <c r="C2" s="1" t="s">
        <v>37</v>
      </c>
      <c r="F2" s="1" t="s">
        <v>40</v>
      </c>
    </row>
    <row r="3">
      <c r="A3" s="1" t="s">
        <v>43</v>
      </c>
      <c r="B3" s="1" t="s">
        <v>43</v>
      </c>
      <c r="C3" s="1" t="s">
        <v>45</v>
      </c>
      <c r="D3" s="1" t="s">
        <v>47</v>
      </c>
      <c r="E3" s="1" t="s">
        <v>48</v>
      </c>
      <c r="F3" s="1" t="s">
        <v>51</v>
      </c>
    </row>
    <row r="4">
      <c r="A4" s="1" t="s">
        <v>55</v>
      </c>
      <c r="E4" s="1" t="s">
        <v>57</v>
      </c>
    </row>
    <row r="5">
      <c r="A5" s="1" t="s">
        <v>58</v>
      </c>
      <c r="E5" s="1" t="s">
        <v>60</v>
      </c>
    </row>
    <row r="6">
      <c r="A6" s="1" t="s">
        <v>62</v>
      </c>
      <c r="B6" s="1" t="s">
        <v>43</v>
      </c>
      <c r="C6" s="1" t="s">
        <v>45</v>
      </c>
      <c r="D6" s="1" t="s">
        <v>68</v>
      </c>
    </row>
    <row r="7">
      <c r="A7" s="1" t="s">
        <v>72</v>
      </c>
      <c r="B7" s="1" t="s">
        <v>73</v>
      </c>
      <c r="C7" s="1" t="s">
        <v>75</v>
      </c>
      <c r="E7" s="1" t="s">
        <v>76</v>
      </c>
    </row>
    <row r="8">
      <c r="A8" s="1" t="s">
        <v>81</v>
      </c>
      <c r="B8" s="1" t="s">
        <v>36</v>
      </c>
      <c r="C8" s="1" t="s">
        <v>37</v>
      </c>
      <c r="E8" s="1" t="s">
        <v>84</v>
      </c>
    </row>
    <row r="9">
      <c r="A9" s="1" t="s">
        <v>87</v>
      </c>
      <c r="E9" s="1" t="s">
        <v>89</v>
      </c>
    </row>
    <row r="10">
      <c r="A10" s="1" t="s">
        <v>90</v>
      </c>
      <c r="B10" s="1" t="s">
        <v>91</v>
      </c>
      <c r="C10" s="1" t="s">
        <v>31</v>
      </c>
      <c r="D10" s="1" t="s">
        <v>93</v>
      </c>
    </row>
    <row r="11">
      <c r="A11" s="1" t="s">
        <v>94</v>
      </c>
      <c r="B11" s="1" t="s">
        <v>91</v>
      </c>
      <c r="C11" s="1" t="s">
        <v>31</v>
      </c>
      <c r="D11" s="1" t="s">
        <v>96</v>
      </c>
    </row>
    <row r="12">
      <c r="A12" s="1" t="s">
        <v>99</v>
      </c>
      <c r="B12" s="1" t="s">
        <v>100</v>
      </c>
      <c r="C12" s="1" t="s">
        <v>101</v>
      </c>
      <c r="D12" s="1" t="s">
        <v>102</v>
      </c>
    </row>
    <row r="13">
      <c r="A13" s="1" t="s">
        <v>105</v>
      </c>
      <c r="B13" s="1" t="s">
        <v>106</v>
      </c>
      <c r="C13" s="1" t="s">
        <v>108</v>
      </c>
      <c r="D13" s="1" t="s">
        <v>109</v>
      </c>
    </row>
    <row r="14">
      <c r="A14" s="1" t="s">
        <v>111</v>
      </c>
      <c r="B14" s="1" t="s">
        <v>112</v>
      </c>
      <c r="C14" s="1" t="s">
        <v>113</v>
      </c>
      <c r="D14" s="1" t="s">
        <v>114</v>
      </c>
    </row>
    <row r="15">
      <c r="A15" s="1" t="s">
        <v>115</v>
      </c>
      <c r="B15" s="1" t="s">
        <v>116</v>
      </c>
      <c r="C15" s="1" t="s">
        <v>56</v>
      </c>
      <c r="D15" s="1" t="s">
        <v>117</v>
      </c>
    </row>
    <row r="16">
      <c r="A16" s="1" t="s">
        <v>118</v>
      </c>
      <c r="B16" s="1" t="s">
        <v>119</v>
      </c>
      <c r="C16" s="1" t="s">
        <v>61</v>
      </c>
      <c r="E16" s="1" t="s">
        <v>121</v>
      </c>
    </row>
    <row r="17">
      <c r="A17" s="1" t="s">
        <v>123</v>
      </c>
      <c r="B17" s="1" t="s">
        <v>106</v>
      </c>
      <c r="C17" s="1" t="s">
        <v>108</v>
      </c>
      <c r="D17" s="1" t="s">
        <v>124</v>
      </c>
      <c r="F17" s="1" t="s">
        <v>126</v>
      </c>
    </row>
    <row r="18">
      <c r="A18" s="1" t="s">
        <v>128</v>
      </c>
      <c r="B18" s="1" t="s">
        <v>129</v>
      </c>
      <c r="C18" s="1" t="s">
        <v>130</v>
      </c>
      <c r="D18" s="1" t="s">
        <v>132</v>
      </c>
    </row>
    <row r="19">
      <c r="A19" s="1" t="s">
        <v>134</v>
      </c>
      <c r="B19" s="1" t="s">
        <v>135</v>
      </c>
      <c r="C19" s="1" t="s">
        <v>137</v>
      </c>
      <c r="D19" s="1" t="s">
        <v>138</v>
      </c>
    </row>
    <row r="20">
      <c r="A20" s="1" t="s">
        <v>141</v>
      </c>
      <c r="B20" s="1" t="s">
        <v>106</v>
      </c>
      <c r="C20" s="1" t="s">
        <v>108</v>
      </c>
      <c r="E20" s="1" t="s">
        <v>144</v>
      </c>
      <c r="F20" s="1" t="s">
        <v>145</v>
      </c>
    </row>
    <row r="21">
      <c r="A21" s="1" t="s">
        <v>147</v>
      </c>
      <c r="B21" s="1" t="s">
        <v>119</v>
      </c>
      <c r="C21" s="1" t="s">
        <v>61</v>
      </c>
      <c r="E21" s="1" t="s">
        <v>148</v>
      </c>
    </row>
    <row r="22">
      <c r="A22" s="1" t="s">
        <v>149</v>
      </c>
      <c r="B22" s="1" t="s">
        <v>150</v>
      </c>
      <c r="C22" s="1" t="s">
        <v>5</v>
      </c>
      <c r="E22" s="1" t="s">
        <v>152</v>
      </c>
      <c r="F22" s="1" t="s">
        <v>153</v>
      </c>
    </row>
    <row r="23">
      <c r="A23" s="1" t="s">
        <v>155</v>
      </c>
      <c r="B23" s="1" t="s">
        <v>100</v>
      </c>
      <c r="C23" s="1" t="s">
        <v>101</v>
      </c>
      <c r="D23" s="1" t="s">
        <v>156</v>
      </c>
      <c r="E23" s="1" t="s">
        <v>157</v>
      </c>
      <c r="F23" s="1" t="s">
        <v>156</v>
      </c>
    </row>
    <row r="24">
      <c r="A24" s="1" t="s">
        <v>159</v>
      </c>
      <c r="B24" s="1" t="s">
        <v>159</v>
      </c>
      <c r="C24" s="1" t="s">
        <v>7</v>
      </c>
      <c r="D24" s="1" t="s">
        <v>160</v>
      </c>
      <c r="E24" s="1" t="s">
        <v>162</v>
      </c>
      <c r="F24" s="1" t="s">
        <v>163</v>
      </c>
    </row>
    <row r="25">
      <c r="A25" s="1" t="s">
        <v>165</v>
      </c>
      <c r="B25" s="1" t="s">
        <v>166</v>
      </c>
      <c r="C25" s="1" t="s">
        <v>130</v>
      </c>
      <c r="D25" s="1" t="s">
        <v>168</v>
      </c>
    </row>
    <row r="26">
      <c r="A26" s="1" t="s">
        <v>169</v>
      </c>
      <c r="B26" s="1" t="s">
        <v>166</v>
      </c>
      <c r="C26" s="1" t="s">
        <v>130</v>
      </c>
      <c r="D26" s="1" t="s">
        <v>171</v>
      </c>
    </row>
    <row r="27">
      <c r="A27" s="1" t="s">
        <v>173</v>
      </c>
      <c r="B27" s="1" t="s">
        <v>174</v>
      </c>
      <c r="C27" s="1" t="s">
        <v>175</v>
      </c>
      <c r="D27" s="1" t="s">
        <v>176</v>
      </c>
      <c r="E27" s="1" t="s">
        <v>177</v>
      </c>
      <c r="F27" s="1" t="s">
        <v>178</v>
      </c>
    </row>
    <row r="28">
      <c r="A28" s="1" t="s">
        <v>179</v>
      </c>
      <c r="E28" s="1" t="s">
        <v>180</v>
      </c>
    </row>
    <row r="29">
      <c r="A29" s="1" t="s">
        <v>181</v>
      </c>
      <c r="E29" s="1" t="s">
        <v>182</v>
      </c>
    </row>
    <row r="30">
      <c r="A30" s="1" t="s">
        <v>184</v>
      </c>
      <c r="B30" s="1" t="s">
        <v>185</v>
      </c>
      <c r="C30" s="1" t="s">
        <v>49</v>
      </c>
      <c r="D30" s="1" t="s">
        <v>187</v>
      </c>
    </row>
    <row r="31">
      <c r="A31" s="1" t="s">
        <v>188</v>
      </c>
      <c r="B31" s="1" t="s">
        <v>119</v>
      </c>
      <c r="C31" s="1" t="s">
        <v>61</v>
      </c>
      <c r="F31" s="1" t="s">
        <v>189</v>
      </c>
    </row>
    <row r="32">
      <c r="A32" s="1" t="s">
        <v>191</v>
      </c>
      <c r="B32" s="1" t="s">
        <v>192</v>
      </c>
      <c r="C32" s="1" t="s">
        <v>79</v>
      </c>
      <c r="D32" s="1" t="s">
        <v>194</v>
      </c>
    </row>
    <row r="33">
      <c r="A33" s="1" t="s">
        <v>195</v>
      </c>
      <c r="D33" s="1" t="s">
        <v>197</v>
      </c>
    </row>
    <row r="34">
      <c r="A34" s="1" t="s">
        <v>198</v>
      </c>
      <c r="B34" s="1" t="s">
        <v>198</v>
      </c>
      <c r="C34" s="1" t="s">
        <v>24</v>
      </c>
      <c r="D34" s="1" t="s">
        <v>200</v>
      </c>
      <c r="E34" s="1" t="s">
        <v>201</v>
      </c>
      <c r="F34" s="1" t="s">
        <v>202</v>
      </c>
    </row>
    <row r="35">
      <c r="A35" s="1" t="s">
        <v>204</v>
      </c>
      <c r="B35" s="1" t="s">
        <v>205</v>
      </c>
      <c r="C35" s="1" t="s">
        <v>79</v>
      </c>
      <c r="D35" s="1" t="s">
        <v>207</v>
      </c>
    </row>
    <row r="36">
      <c r="A36" s="1" t="s">
        <v>208</v>
      </c>
      <c r="B36" s="1" t="s">
        <v>100</v>
      </c>
      <c r="C36" s="1" t="s">
        <v>101</v>
      </c>
      <c r="F36" s="1" t="s">
        <v>210</v>
      </c>
    </row>
    <row r="37">
      <c r="A37" s="1" t="s">
        <v>211</v>
      </c>
      <c r="B37" s="1" t="s">
        <v>116</v>
      </c>
      <c r="C37" s="1" t="s">
        <v>56</v>
      </c>
      <c r="D37" s="1" t="s">
        <v>212</v>
      </c>
    </row>
    <row r="38">
      <c r="A38" s="1" t="s">
        <v>213</v>
      </c>
      <c r="B38" s="1" t="s">
        <v>116</v>
      </c>
      <c r="C38" s="1" t="s">
        <v>56</v>
      </c>
      <c r="E38" s="1" t="s">
        <v>215</v>
      </c>
      <c r="F38" s="1" t="s">
        <v>216</v>
      </c>
    </row>
    <row r="39">
      <c r="A39" s="1" t="s">
        <v>217</v>
      </c>
      <c r="B39" s="1" t="s">
        <v>36</v>
      </c>
      <c r="C39" s="1" t="s">
        <v>37</v>
      </c>
      <c r="E39" s="1" t="s">
        <v>219</v>
      </c>
    </row>
    <row r="40">
      <c r="A40" s="1" t="s">
        <v>221</v>
      </c>
      <c r="B40" s="1" t="s">
        <v>116</v>
      </c>
      <c r="C40" s="1" t="s">
        <v>56</v>
      </c>
      <c r="D40" s="1" t="s">
        <v>222</v>
      </c>
      <c r="E40" s="1" t="s">
        <v>221</v>
      </c>
    </row>
    <row r="41">
      <c r="A41" s="1" t="s">
        <v>224</v>
      </c>
      <c r="B41" s="1" t="s">
        <v>116</v>
      </c>
      <c r="C41" s="1" t="s">
        <v>56</v>
      </c>
      <c r="E41" s="1" t="s">
        <v>226</v>
      </c>
      <c r="F41" s="1" t="s">
        <v>227</v>
      </c>
    </row>
    <row r="42">
      <c r="A42" s="1" t="s">
        <v>229</v>
      </c>
      <c r="E42" s="1" t="s">
        <v>230</v>
      </c>
    </row>
    <row r="43">
      <c r="A43" s="1" t="s">
        <v>232</v>
      </c>
      <c r="E43" s="1" t="s">
        <v>233</v>
      </c>
    </row>
    <row r="44">
      <c r="A44" s="1" t="s">
        <v>234</v>
      </c>
      <c r="B44" s="1" t="s">
        <v>116</v>
      </c>
      <c r="C44" s="1" t="s">
        <v>56</v>
      </c>
      <c r="E44" s="1" t="s">
        <v>236</v>
      </c>
    </row>
    <row r="45">
      <c r="A45" s="1" t="s">
        <v>239</v>
      </c>
      <c r="B45" s="1" t="s">
        <v>240</v>
      </c>
      <c r="C45" s="1" t="s">
        <v>241</v>
      </c>
      <c r="D45" s="1" t="s">
        <v>242</v>
      </c>
    </row>
    <row r="46">
      <c r="A46" s="1" t="s">
        <v>244</v>
      </c>
      <c r="B46" s="1" t="s">
        <v>116</v>
      </c>
      <c r="C46" s="1" t="s">
        <v>56</v>
      </c>
      <c r="E46" s="1" t="s">
        <v>246</v>
      </c>
    </row>
    <row r="47">
      <c r="A47" s="1" t="s">
        <v>247</v>
      </c>
      <c r="B47" s="1" t="s">
        <v>248</v>
      </c>
      <c r="C47" s="1" t="s">
        <v>249</v>
      </c>
      <c r="D47" s="1" t="s">
        <v>250</v>
      </c>
    </row>
    <row r="48">
      <c r="A48" s="1" t="s">
        <v>251</v>
      </c>
      <c r="B48" s="1" t="s">
        <v>116</v>
      </c>
      <c r="C48" s="1" t="s">
        <v>56</v>
      </c>
      <c r="D48" s="1" t="s">
        <v>252</v>
      </c>
    </row>
    <row r="49">
      <c r="A49" s="1" t="s">
        <v>253</v>
      </c>
      <c r="B49" s="1" t="s">
        <v>116</v>
      </c>
      <c r="C49" s="1" t="s">
        <v>56</v>
      </c>
      <c r="D49" s="1" t="s">
        <v>254</v>
      </c>
    </row>
    <row r="50">
      <c r="A50" s="1" t="s">
        <v>255</v>
      </c>
      <c r="B50" s="1" t="s">
        <v>256</v>
      </c>
      <c r="C50" s="1" t="s">
        <v>56</v>
      </c>
      <c r="E50" s="1" t="s">
        <v>257</v>
      </c>
    </row>
    <row r="51">
      <c r="A51" s="1" t="s">
        <v>258</v>
      </c>
      <c r="B51" s="1" t="s">
        <v>259</v>
      </c>
      <c r="C51" s="1" t="s">
        <v>260</v>
      </c>
      <c r="D51" s="1" t="s">
        <v>261</v>
      </c>
    </row>
    <row r="52">
      <c r="A52" s="1" t="s">
        <v>262</v>
      </c>
      <c r="B52" s="1" t="s">
        <v>259</v>
      </c>
      <c r="C52" s="1" t="s">
        <v>260</v>
      </c>
      <c r="D52" s="1" t="s">
        <v>263</v>
      </c>
    </row>
    <row r="53">
      <c r="A53" s="1" t="s">
        <v>264</v>
      </c>
      <c r="B53" s="1" t="s">
        <v>36</v>
      </c>
      <c r="C53" s="1" t="s">
        <v>37</v>
      </c>
      <c r="E53" s="1" t="s">
        <v>265</v>
      </c>
      <c r="F53" s="1" t="s">
        <v>266</v>
      </c>
    </row>
    <row r="54">
      <c r="A54" s="1" t="s">
        <v>267</v>
      </c>
      <c r="B54" s="1" t="s">
        <v>268</v>
      </c>
      <c r="C54" s="1" t="s">
        <v>269</v>
      </c>
      <c r="E54" s="1" t="s">
        <v>270</v>
      </c>
      <c r="F54" s="1" t="s">
        <v>271</v>
      </c>
    </row>
    <row r="55">
      <c r="A55" s="1" t="s">
        <v>272</v>
      </c>
      <c r="B55" s="1" t="s">
        <v>273</v>
      </c>
      <c r="C55" s="1" t="s">
        <v>274</v>
      </c>
      <c r="D55" s="1" t="s">
        <v>275</v>
      </c>
    </row>
    <row r="56">
      <c r="A56" s="1" t="s">
        <v>276</v>
      </c>
      <c r="B56" s="1" t="s">
        <v>36</v>
      </c>
      <c r="C56" s="1" t="s">
        <v>37</v>
      </c>
      <c r="E56" s="1" t="s">
        <v>277</v>
      </c>
    </row>
    <row r="57">
      <c r="A57" s="1" t="s">
        <v>278</v>
      </c>
      <c r="B57" s="1" t="s">
        <v>36</v>
      </c>
      <c r="C57" s="1" t="s">
        <v>37</v>
      </c>
      <c r="E57" s="1" t="s">
        <v>279</v>
      </c>
    </row>
    <row r="58">
      <c r="A58" s="1" t="s">
        <v>280</v>
      </c>
      <c r="B58" s="1" t="s">
        <v>281</v>
      </c>
      <c r="C58" s="1" t="s">
        <v>49</v>
      </c>
      <c r="D58" s="1" t="s">
        <v>282</v>
      </c>
    </row>
    <row r="59">
      <c r="A59" s="1" t="s">
        <v>283</v>
      </c>
      <c r="B59" s="1" t="s">
        <v>284</v>
      </c>
      <c r="C59" s="1" t="s">
        <v>74</v>
      </c>
      <c r="D59" s="1" t="s">
        <v>285</v>
      </c>
    </row>
    <row r="60">
      <c r="A60" s="1" t="s">
        <v>286</v>
      </c>
      <c r="B60" s="1" t="s">
        <v>106</v>
      </c>
      <c r="C60" s="1" t="s">
        <v>108</v>
      </c>
      <c r="D60" s="1" t="s">
        <v>287</v>
      </c>
    </row>
    <row r="61">
      <c r="A61" s="1" t="s">
        <v>288</v>
      </c>
      <c r="B61" s="1" t="s">
        <v>106</v>
      </c>
      <c r="C61" s="1" t="s">
        <v>108</v>
      </c>
      <c r="E61" s="1" t="s">
        <v>289</v>
      </c>
    </row>
    <row r="62">
      <c r="A62" s="1" t="s">
        <v>290</v>
      </c>
      <c r="E62" s="1" t="s">
        <v>291</v>
      </c>
    </row>
    <row r="63">
      <c r="A63" s="1" t="s">
        <v>292</v>
      </c>
      <c r="B63" s="1" t="s">
        <v>293</v>
      </c>
      <c r="C63" s="1" t="s">
        <v>45</v>
      </c>
      <c r="D63" s="1" t="s">
        <v>294</v>
      </c>
    </row>
    <row r="64">
      <c r="A64" s="1" t="s">
        <v>295</v>
      </c>
      <c r="B64" s="1" t="s">
        <v>293</v>
      </c>
      <c r="C64" s="1" t="s">
        <v>45</v>
      </c>
      <c r="D64" s="1" t="s">
        <v>296</v>
      </c>
    </row>
    <row r="65">
      <c r="A65" s="1" t="s">
        <v>297</v>
      </c>
      <c r="B65" s="1" t="s">
        <v>298</v>
      </c>
      <c r="C65" s="1" t="s">
        <v>299</v>
      </c>
      <c r="D65" s="1" t="s">
        <v>300</v>
      </c>
    </row>
    <row r="66">
      <c r="A66" s="1" t="s">
        <v>301</v>
      </c>
      <c r="B66" s="1" t="s">
        <v>302</v>
      </c>
      <c r="C66" s="1" t="s">
        <v>303</v>
      </c>
      <c r="D66" s="1" t="s">
        <v>304</v>
      </c>
    </row>
    <row r="67">
      <c r="A67" s="1" t="s">
        <v>305</v>
      </c>
      <c r="B67" s="1" t="s">
        <v>306</v>
      </c>
      <c r="C67" s="1" t="s">
        <v>307</v>
      </c>
      <c r="D67" s="1" t="s">
        <v>308</v>
      </c>
    </row>
    <row r="68">
      <c r="A68" s="1" t="s">
        <v>309</v>
      </c>
      <c r="B68" s="1" t="s">
        <v>185</v>
      </c>
      <c r="C68" s="1" t="s">
        <v>49</v>
      </c>
      <c r="D68" s="1" t="s">
        <v>310</v>
      </c>
      <c r="E68" s="1" t="s">
        <v>311</v>
      </c>
      <c r="F68" s="1" t="s">
        <v>312</v>
      </c>
    </row>
    <row r="69">
      <c r="A69" s="1" t="s">
        <v>185</v>
      </c>
      <c r="B69" s="1" t="s">
        <v>185</v>
      </c>
      <c r="C69" s="1" t="s">
        <v>49</v>
      </c>
      <c r="D69" s="1" t="s">
        <v>313</v>
      </c>
      <c r="E69" s="1" t="s">
        <v>314</v>
      </c>
      <c r="F69" s="1" t="s">
        <v>315</v>
      </c>
    </row>
    <row r="70">
      <c r="A70" s="1" t="s">
        <v>316</v>
      </c>
      <c r="E70" s="1" t="s">
        <v>317</v>
      </c>
    </row>
    <row r="71">
      <c r="A71" s="1" t="s">
        <v>318</v>
      </c>
      <c r="E71" s="1" t="s">
        <v>319</v>
      </c>
    </row>
    <row r="72">
      <c r="A72" s="1" t="s">
        <v>320</v>
      </c>
      <c r="B72" s="1" t="s">
        <v>302</v>
      </c>
      <c r="C72" s="1" t="s">
        <v>303</v>
      </c>
      <c r="D72" s="1" t="s">
        <v>321</v>
      </c>
    </row>
    <row r="73">
      <c r="A73" s="1" t="s">
        <v>322</v>
      </c>
      <c r="B73" s="1" t="s">
        <v>322</v>
      </c>
      <c r="C73" s="1" t="s">
        <v>5</v>
      </c>
      <c r="D73" s="1" t="s">
        <v>323</v>
      </c>
      <c r="E73" s="1" t="s">
        <v>324</v>
      </c>
      <c r="F73" s="1" t="s">
        <v>325</v>
      </c>
    </row>
    <row r="74">
      <c r="A74" s="1" t="s">
        <v>326</v>
      </c>
      <c r="B74" s="1" t="s">
        <v>185</v>
      </c>
      <c r="C74" s="1" t="s">
        <v>49</v>
      </c>
      <c r="D74" s="1" t="s">
        <v>327</v>
      </c>
      <c r="F74" s="1" t="s">
        <v>328</v>
      </c>
    </row>
    <row r="75">
      <c r="A75" s="1" t="s">
        <v>329</v>
      </c>
      <c r="E75" s="1" t="s">
        <v>330</v>
      </c>
    </row>
    <row r="76">
      <c r="A76" s="1" t="s">
        <v>331</v>
      </c>
      <c r="E76" s="1" t="s">
        <v>332</v>
      </c>
    </row>
    <row r="77">
      <c r="A77" s="1" t="s">
        <v>333</v>
      </c>
      <c r="B77" s="1" t="s">
        <v>36</v>
      </c>
      <c r="C77" s="1" t="s">
        <v>37</v>
      </c>
      <c r="E77" s="1" t="s">
        <v>334</v>
      </c>
    </row>
    <row r="78">
      <c r="A78" s="1" t="s">
        <v>335</v>
      </c>
      <c r="B78" s="1" t="s">
        <v>259</v>
      </c>
      <c r="C78" s="1" t="s">
        <v>260</v>
      </c>
      <c r="D78" s="1" t="s">
        <v>336</v>
      </c>
    </row>
    <row r="79">
      <c r="A79" s="1" t="s">
        <v>337</v>
      </c>
      <c r="B79" s="1" t="s">
        <v>259</v>
      </c>
      <c r="C79" s="1" t="s">
        <v>260</v>
      </c>
      <c r="D79" s="1" t="s">
        <v>338</v>
      </c>
    </row>
    <row r="80">
      <c r="A80" s="1" t="s">
        <v>339</v>
      </c>
      <c r="B80" s="1" t="s">
        <v>259</v>
      </c>
      <c r="C80" s="1" t="s">
        <v>260</v>
      </c>
      <c r="D80" s="1" t="s">
        <v>340</v>
      </c>
    </row>
    <row r="81">
      <c r="A81" s="1" t="s">
        <v>341</v>
      </c>
      <c r="B81" s="1" t="s">
        <v>259</v>
      </c>
      <c r="C81" s="1" t="s">
        <v>260</v>
      </c>
      <c r="D81" s="1" t="s">
        <v>342</v>
      </c>
      <c r="F81" s="1" t="s">
        <v>343</v>
      </c>
    </row>
    <row r="82">
      <c r="A82" s="1" t="s">
        <v>344</v>
      </c>
      <c r="B82" s="1" t="s">
        <v>259</v>
      </c>
      <c r="C82" s="1" t="s">
        <v>260</v>
      </c>
      <c r="D82" s="1" t="s">
        <v>345</v>
      </c>
    </row>
    <row r="83">
      <c r="A83" s="1" t="s">
        <v>346</v>
      </c>
      <c r="B83" s="1" t="s">
        <v>347</v>
      </c>
      <c r="C83" s="1" t="s">
        <v>260</v>
      </c>
      <c r="D83" s="1" t="s">
        <v>348</v>
      </c>
    </row>
    <row r="84">
      <c r="A84" s="1" t="s">
        <v>349</v>
      </c>
      <c r="B84" s="1" t="s">
        <v>350</v>
      </c>
      <c r="C84" s="1" t="s">
        <v>260</v>
      </c>
      <c r="D84" s="1" t="s">
        <v>351</v>
      </c>
    </row>
    <row r="85">
      <c r="A85" s="1" t="s">
        <v>352</v>
      </c>
      <c r="D85" s="1" t="s">
        <v>353</v>
      </c>
    </row>
    <row r="86">
      <c r="A86" s="1" t="s">
        <v>354</v>
      </c>
      <c r="B86" s="1" t="s">
        <v>355</v>
      </c>
      <c r="C86" s="1" t="s">
        <v>356</v>
      </c>
      <c r="F86" s="1" t="s">
        <v>357</v>
      </c>
    </row>
    <row r="87">
      <c r="A87" s="1" t="s">
        <v>358</v>
      </c>
      <c r="B87" s="1" t="s">
        <v>359</v>
      </c>
      <c r="C87" s="1" t="s">
        <v>45</v>
      </c>
      <c r="D87" s="1" t="s">
        <v>360</v>
      </c>
    </row>
    <row r="88">
      <c r="A88" s="1" t="s">
        <v>361</v>
      </c>
      <c r="D88" s="1" t="s">
        <v>362</v>
      </c>
    </row>
    <row r="89">
      <c r="A89" s="1" t="s">
        <v>363</v>
      </c>
      <c r="B89" s="1" t="s">
        <v>259</v>
      </c>
      <c r="C89" s="1" t="s">
        <v>260</v>
      </c>
      <c r="D89" s="1" t="s">
        <v>364</v>
      </c>
    </row>
    <row r="90">
      <c r="A90" s="1" t="s">
        <v>365</v>
      </c>
      <c r="E90" s="1" t="s">
        <v>366</v>
      </c>
    </row>
    <row r="91">
      <c r="A91" s="1" t="s">
        <v>367</v>
      </c>
      <c r="E91" s="1" t="s">
        <v>368</v>
      </c>
    </row>
    <row r="92">
      <c r="A92" s="1" t="s">
        <v>369</v>
      </c>
      <c r="B92" s="1" t="s">
        <v>259</v>
      </c>
      <c r="C92" s="1" t="s">
        <v>260</v>
      </c>
      <c r="D92" s="1" t="s">
        <v>370</v>
      </c>
    </row>
    <row r="93">
      <c r="A93" s="1" t="s">
        <v>371</v>
      </c>
      <c r="B93" s="1" t="s">
        <v>259</v>
      </c>
      <c r="C93" s="1" t="s">
        <v>260</v>
      </c>
      <c r="E93" s="1" t="s">
        <v>372</v>
      </c>
      <c r="F93" s="1" t="s">
        <v>373</v>
      </c>
    </row>
    <row r="94">
      <c r="A94" s="1" t="s">
        <v>374</v>
      </c>
      <c r="E94" s="1" t="s">
        <v>375</v>
      </c>
    </row>
    <row r="95">
      <c r="A95" s="1" t="s">
        <v>376</v>
      </c>
      <c r="B95" s="1" t="s">
        <v>259</v>
      </c>
      <c r="C95" s="1" t="s">
        <v>260</v>
      </c>
      <c r="D95" s="1" t="s">
        <v>377</v>
      </c>
    </row>
    <row r="96">
      <c r="A96" s="1" t="s">
        <v>378</v>
      </c>
      <c r="B96" s="1" t="s">
        <v>379</v>
      </c>
      <c r="C96" s="1" t="s">
        <v>74</v>
      </c>
      <c r="D96" s="1" t="s">
        <v>380</v>
      </c>
    </row>
    <row r="97">
      <c r="A97" s="1" t="s">
        <v>381</v>
      </c>
      <c r="B97" s="1" t="s">
        <v>185</v>
      </c>
      <c r="C97" s="1" t="s">
        <v>49</v>
      </c>
      <c r="D97" s="1" t="s">
        <v>382</v>
      </c>
    </row>
    <row r="98">
      <c r="A98" s="1" t="s">
        <v>383</v>
      </c>
      <c r="E98" s="1" t="s">
        <v>384</v>
      </c>
    </row>
    <row r="99">
      <c r="A99" s="1" t="s">
        <v>385</v>
      </c>
      <c r="E99" s="1" t="s">
        <v>386</v>
      </c>
    </row>
    <row r="100">
      <c r="A100" s="1" t="s">
        <v>387</v>
      </c>
      <c r="E100" s="1" t="s">
        <v>388</v>
      </c>
    </row>
    <row r="101">
      <c r="A101" s="1" t="s">
        <v>389</v>
      </c>
      <c r="B101" s="1" t="s">
        <v>390</v>
      </c>
      <c r="C101" s="1" t="s">
        <v>391</v>
      </c>
      <c r="E101" s="1" t="s">
        <v>392</v>
      </c>
    </row>
    <row r="102">
      <c r="A102" s="1" t="s">
        <v>393</v>
      </c>
      <c r="B102" s="1" t="s">
        <v>394</v>
      </c>
      <c r="C102" s="1" t="s">
        <v>65</v>
      </c>
      <c r="D102" s="1" t="s">
        <v>395</v>
      </c>
    </row>
    <row r="103">
      <c r="A103" s="1" t="s">
        <v>396</v>
      </c>
      <c r="B103" s="1" t="s">
        <v>394</v>
      </c>
      <c r="C103" s="1" t="s">
        <v>65</v>
      </c>
      <c r="D103" s="1" t="s">
        <v>397</v>
      </c>
    </row>
    <row r="104">
      <c r="A104" s="1" t="s">
        <v>398</v>
      </c>
      <c r="B104" s="1" t="s">
        <v>394</v>
      </c>
      <c r="C104" s="1" t="s">
        <v>65</v>
      </c>
      <c r="D104" s="1" t="s">
        <v>399</v>
      </c>
    </row>
    <row r="105">
      <c r="A105" s="1" t="s">
        <v>400</v>
      </c>
      <c r="B105" s="1" t="s">
        <v>394</v>
      </c>
      <c r="C105" s="1" t="s">
        <v>65</v>
      </c>
      <c r="E105" s="1" t="s">
        <v>401</v>
      </c>
      <c r="F105" s="1" t="s">
        <v>402</v>
      </c>
    </row>
    <row r="106">
      <c r="A106" s="1" t="s">
        <v>403</v>
      </c>
      <c r="B106" s="1" t="s">
        <v>404</v>
      </c>
      <c r="C106" s="1" t="s">
        <v>65</v>
      </c>
      <c r="D106" s="1" t="s">
        <v>405</v>
      </c>
    </row>
    <row r="107">
      <c r="A107" s="1" t="s">
        <v>406</v>
      </c>
      <c r="E107" s="1" t="s">
        <v>407</v>
      </c>
    </row>
    <row r="108">
      <c r="A108" s="1" t="s">
        <v>408</v>
      </c>
      <c r="E108" s="1" t="s">
        <v>409</v>
      </c>
    </row>
    <row r="109">
      <c r="A109" s="1" t="s">
        <v>410</v>
      </c>
      <c r="B109" s="1" t="s">
        <v>411</v>
      </c>
      <c r="C109" s="1" t="s">
        <v>412</v>
      </c>
      <c r="D109" s="1" t="s">
        <v>413</v>
      </c>
    </row>
    <row r="110">
      <c r="A110" s="1" t="s">
        <v>404</v>
      </c>
      <c r="B110" s="1" t="s">
        <v>404</v>
      </c>
      <c r="C110" s="1" t="s">
        <v>65</v>
      </c>
      <c r="E110" s="1" t="s">
        <v>414</v>
      </c>
      <c r="F110" s="1" t="s">
        <v>415</v>
      </c>
    </row>
    <row r="111">
      <c r="A111" s="1" t="s">
        <v>416</v>
      </c>
      <c r="B111" s="1" t="s">
        <v>417</v>
      </c>
      <c r="C111" s="1" t="s">
        <v>74</v>
      </c>
      <c r="D111" s="1" t="s">
        <v>418</v>
      </c>
    </row>
    <row r="112">
      <c r="A112" s="1" t="s">
        <v>419</v>
      </c>
      <c r="B112" s="1" t="s">
        <v>420</v>
      </c>
      <c r="C112" s="1" t="s">
        <v>421</v>
      </c>
      <c r="D112" s="1" t="s">
        <v>422</v>
      </c>
    </row>
    <row r="113">
      <c r="A113" s="1" t="s">
        <v>423</v>
      </c>
      <c r="B113" s="1" t="s">
        <v>424</v>
      </c>
      <c r="C113" s="1" t="s">
        <v>5</v>
      </c>
      <c r="F113" s="1" t="s">
        <v>425</v>
      </c>
    </row>
    <row r="114">
      <c r="A114" s="1" t="s">
        <v>426</v>
      </c>
      <c r="B114" s="1" t="s">
        <v>91</v>
      </c>
      <c r="C114" s="1" t="s">
        <v>31</v>
      </c>
      <c r="D114" s="1" t="s">
        <v>427</v>
      </c>
    </row>
    <row r="115">
      <c r="A115" s="1" t="s">
        <v>428</v>
      </c>
      <c r="B115" s="1" t="s">
        <v>428</v>
      </c>
      <c r="C115" s="1" t="s">
        <v>26</v>
      </c>
      <c r="D115" s="1" t="s">
        <v>429</v>
      </c>
      <c r="F115" s="1" t="s">
        <v>430</v>
      </c>
    </row>
    <row r="116">
      <c r="A116" s="1" t="s">
        <v>431</v>
      </c>
      <c r="B116" s="1" t="s">
        <v>432</v>
      </c>
      <c r="C116" s="1" t="s">
        <v>12</v>
      </c>
      <c r="D116" s="1" t="s">
        <v>433</v>
      </c>
    </row>
    <row r="117">
      <c r="A117" s="1" t="s">
        <v>434</v>
      </c>
      <c r="B117" s="1" t="s">
        <v>432</v>
      </c>
      <c r="C117" s="1" t="s">
        <v>12</v>
      </c>
      <c r="D117" s="1" t="s">
        <v>435</v>
      </c>
    </row>
    <row r="118">
      <c r="A118" s="1" t="s">
        <v>436</v>
      </c>
      <c r="B118" s="1" t="s">
        <v>432</v>
      </c>
      <c r="C118" s="1" t="s">
        <v>12</v>
      </c>
      <c r="D118" s="1" t="s">
        <v>437</v>
      </c>
    </row>
    <row r="119">
      <c r="A119" s="1" t="s">
        <v>432</v>
      </c>
      <c r="B119" s="1" t="s">
        <v>432</v>
      </c>
      <c r="C119" s="1" t="s">
        <v>12</v>
      </c>
      <c r="E119" s="1" t="s">
        <v>438</v>
      </c>
      <c r="F119" s="1" t="s">
        <v>439</v>
      </c>
    </row>
    <row r="120">
      <c r="A120" s="1" t="s">
        <v>440</v>
      </c>
      <c r="E120" s="1" t="s">
        <v>441</v>
      </c>
    </row>
    <row r="121">
      <c r="A121" s="1" t="s">
        <v>442</v>
      </c>
      <c r="E121" s="1" t="s">
        <v>443</v>
      </c>
    </row>
    <row r="122">
      <c r="A122" s="1" t="s">
        <v>444</v>
      </c>
      <c r="B122" s="1" t="s">
        <v>91</v>
      </c>
      <c r="C122" s="1" t="s">
        <v>31</v>
      </c>
      <c r="D122" s="1" t="s">
        <v>445</v>
      </c>
    </row>
    <row r="123">
      <c r="A123" s="1" t="s">
        <v>446</v>
      </c>
      <c r="B123" s="1" t="s">
        <v>91</v>
      </c>
      <c r="C123" s="1" t="s">
        <v>31</v>
      </c>
      <c r="D123" s="1" t="s">
        <v>447</v>
      </c>
    </row>
    <row r="124">
      <c r="A124" s="1" t="s">
        <v>448</v>
      </c>
      <c r="B124" s="1" t="s">
        <v>106</v>
      </c>
      <c r="C124" s="1" t="s">
        <v>108</v>
      </c>
      <c r="D124" s="1" t="s">
        <v>449</v>
      </c>
    </row>
    <row r="125">
      <c r="A125" s="1" t="s">
        <v>450</v>
      </c>
      <c r="D125" s="1" t="s">
        <v>451</v>
      </c>
    </row>
    <row r="126">
      <c r="A126" s="1" t="s">
        <v>452</v>
      </c>
      <c r="B126" s="1" t="s">
        <v>36</v>
      </c>
      <c r="C126" s="1" t="s">
        <v>37</v>
      </c>
      <c r="D126" s="1" t="s">
        <v>453</v>
      </c>
    </row>
    <row r="127">
      <c r="A127" s="1" t="s">
        <v>454</v>
      </c>
      <c r="B127" s="1" t="s">
        <v>36</v>
      </c>
      <c r="C127" s="1" t="s">
        <v>37</v>
      </c>
      <c r="D127" s="1" t="s">
        <v>455</v>
      </c>
    </row>
    <row r="128">
      <c r="A128" s="1" t="s">
        <v>456</v>
      </c>
      <c r="B128" s="1" t="s">
        <v>91</v>
      </c>
      <c r="C128" s="1" t="s">
        <v>31</v>
      </c>
      <c r="D128" s="1" t="s">
        <v>457</v>
      </c>
    </row>
    <row r="129">
      <c r="A129" s="1" t="s">
        <v>458</v>
      </c>
      <c r="B129" s="1" t="s">
        <v>36</v>
      </c>
      <c r="C129" s="1" t="s">
        <v>37</v>
      </c>
      <c r="E129" s="1" t="s">
        <v>459</v>
      </c>
    </row>
    <row r="130">
      <c r="A130" s="1" t="s">
        <v>460</v>
      </c>
      <c r="B130" s="1" t="s">
        <v>461</v>
      </c>
      <c r="C130" s="1" t="s">
        <v>108</v>
      </c>
      <c r="E130" s="1" t="s">
        <v>462</v>
      </c>
      <c r="F130" s="1" t="s">
        <v>463</v>
      </c>
    </row>
    <row r="131">
      <c r="A131" s="1" t="s">
        <v>464</v>
      </c>
      <c r="B131" s="1" t="s">
        <v>464</v>
      </c>
      <c r="C131" s="1" t="s">
        <v>21</v>
      </c>
      <c r="D131" s="1" t="s">
        <v>465</v>
      </c>
      <c r="E131" s="1" t="s">
        <v>466</v>
      </c>
      <c r="F131" s="1" t="s">
        <v>467</v>
      </c>
    </row>
    <row r="132">
      <c r="A132" s="1" t="s">
        <v>468</v>
      </c>
      <c r="B132" s="1" t="s">
        <v>119</v>
      </c>
      <c r="C132" s="1" t="s">
        <v>61</v>
      </c>
      <c r="F132" s="1" t="s">
        <v>469</v>
      </c>
    </row>
    <row r="133">
      <c r="A133" s="1" t="s">
        <v>470</v>
      </c>
      <c r="B133" s="1" t="s">
        <v>471</v>
      </c>
      <c r="C133" s="1" t="s">
        <v>56</v>
      </c>
      <c r="D133" s="1" t="s">
        <v>472</v>
      </c>
    </row>
    <row r="134">
      <c r="A134" s="1" t="s">
        <v>473</v>
      </c>
      <c r="E134" s="1" t="s">
        <v>474</v>
      </c>
    </row>
    <row r="135">
      <c r="A135" s="1" t="s">
        <v>475</v>
      </c>
      <c r="E135" s="1" t="s">
        <v>476</v>
      </c>
    </row>
    <row r="136">
      <c r="A136" s="1" t="s">
        <v>477</v>
      </c>
      <c r="B136" s="1" t="s">
        <v>478</v>
      </c>
      <c r="C136" s="1" t="s">
        <v>56</v>
      </c>
      <c r="D136" s="1" t="s">
        <v>479</v>
      </c>
    </row>
    <row r="137">
      <c r="A137" s="1" t="s">
        <v>480</v>
      </c>
      <c r="B137" s="1" t="s">
        <v>91</v>
      </c>
      <c r="C137" s="1" t="s">
        <v>31</v>
      </c>
      <c r="D137" s="1" t="s">
        <v>481</v>
      </c>
    </row>
    <row r="138">
      <c r="A138" s="1" t="s">
        <v>482</v>
      </c>
      <c r="B138" s="1" t="s">
        <v>106</v>
      </c>
      <c r="C138" s="1" t="s">
        <v>108</v>
      </c>
      <c r="E138" s="1" t="s">
        <v>483</v>
      </c>
    </row>
    <row r="139">
      <c r="A139" s="1" t="s">
        <v>484</v>
      </c>
      <c r="B139" s="1" t="s">
        <v>119</v>
      </c>
      <c r="C139" s="1" t="s">
        <v>61</v>
      </c>
      <c r="D139" s="1" t="s">
        <v>485</v>
      </c>
    </row>
    <row r="140">
      <c r="A140" s="1" t="s">
        <v>486</v>
      </c>
      <c r="D140" s="1" t="s">
        <v>487</v>
      </c>
    </row>
    <row r="141">
      <c r="A141" s="1" t="s">
        <v>488</v>
      </c>
      <c r="B141" s="1" t="s">
        <v>489</v>
      </c>
      <c r="C141" s="1" t="s">
        <v>61</v>
      </c>
      <c r="D141" s="1" t="s">
        <v>490</v>
      </c>
    </row>
    <row r="142">
      <c r="A142" s="1" t="s">
        <v>491</v>
      </c>
      <c r="D142" s="1" t="s">
        <v>492</v>
      </c>
    </row>
    <row r="143">
      <c r="A143" s="1" t="s">
        <v>493</v>
      </c>
      <c r="B143" s="1" t="s">
        <v>493</v>
      </c>
      <c r="C143" s="1" t="s">
        <v>494</v>
      </c>
      <c r="D143" s="1" t="s">
        <v>495</v>
      </c>
      <c r="F143" s="1" t="s">
        <v>496</v>
      </c>
    </row>
    <row r="144">
      <c r="A144" s="1" t="s">
        <v>497</v>
      </c>
      <c r="E144" s="1" t="s">
        <v>498</v>
      </c>
    </row>
    <row r="145">
      <c r="A145" s="1" t="s">
        <v>499</v>
      </c>
      <c r="E145" s="1" t="s">
        <v>500</v>
      </c>
    </row>
    <row r="146">
      <c r="A146" s="1" t="s">
        <v>501</v>
      </c>
      <c r="B146" s="1" t="s">
        <v>502</v>
      </c>
      <c r="C146" s="1" t="s">
        <v>503</v>
      </c>
      <c r="D146" s="1" t="s">
        <v>504</v>
      </c>
      <c r="F146" s="1" t="s">
        <v>505</v>
      </c>
    </row>
    <row r="147">
      <c r="A147" s="1" t="s">
        <v>506</v>
      </c>
      <c r="E147" s="1" t="s">
        <v>507</v>
      </c>
    </row>
    <row r="148">
      <c r="A148" s="1" t="s">
        <v>508</v>
      </c>
      <c r="E148" s="1" t="s">
        <v>509</v>
      </c>
    </row>
    <row r="149">
      <c r="A149" s="1" t="s">
        <v>510</v>
      </c>
      <c r="B149" s="1" t="s">
        <v>511</v>
      </c>
      <c r="C149" s="1" t="s">
        <v>79</v>
      </c>
      <c r="D149" s="1" t="s">
        <v>512</v>
      </c>
      <c r="E149" s="1" t="s">
        <v>513</v>
      </c>
    </row>
    <row r="150">
      <c r="A150" s="1" t="s">
        <v>514</v>
      </c>
      <c r="B150" s="1" t="s">
        <v>511</v>
      </c>
      <c r="C150" s="1" t="s">
        <v>79</v>
      </c>
      <c r="D150" s="1" t="s">
        <v>515</v>
      </c>
    </row>
    <row r="151">
      <c r="A151" s="1" t="s">
        <v>516</v>
      </c>
      <c r="B151" s="1" t="s">
        <v>511</v>
      </c>
      <c r="C151" s="1" t="s">
        <v>79</v>
      </c>
      <c r="D151" s="1" t="s">
        <v>517</v>
      </c>
    </row>
    <row r="152">
      <c r="A152" s="1" t="s">
        <v>518</v>
      </c>
      <c r="E152" s="1" t="s">
        <v>519</v>
      </c>
    </row>
    <row r="153">
      <c r="A153" s="1" t="s">
        <v>520</v>
      </c>
      <c r="E153" s="1" t="s">
        <v>521</v>
      </c>
    </row>
    <row r="154">
      <c r="A154" s="1" t="s">
        <v>522</v>
      </c>
      <c r="D154" s="1" t="s">
        <v>523</v>
      </c>
    </row>
    <row r="155">
      <c r="A155" s="1" t="s">
        <v>524</v>
      </c>
      <c r="B155" s="1" t="s">
        <v>511</v>
      </c>
      <c r="C155" s="1" t="s">
        <v>79</v>
      </c>
      <c r="D155" s="1" t="s">
        <v>525</v>
      </c>
    </row>
    <row r="156">
      <c r="A156" s="1" t="s">
        <v>526</v>
      </c>
      <c r="E156" s="1" t="s">
        <v>527</v>
      </c>
    </row>
    <row r="157">
      <c r="A157" s="1" t="s">
        <v>528</v>
      </c>
      <c r="E157" s="1" t="s">
        <v>529</v>
      </c>
    </row>
    <row r="158">
      <c r="A158" s="1" t="s">
        <v>530</v>
      </c>
      <c r="B158" s="1" t="s">
        <v>511</v>
      </c>
      <c r="C158" s="1" t="s">
        <v>79</v>
      </c>
      <c r="D158" s="1" t="s">
        <v>531</v>
      </c>
    </row>
    <row r="159">
      <c r="A159" s="1" t="s">
        <v>532</v>
      </c>
      <c r="B159" s="1" t="s">
        <v>511</v>
      </c>
      <c r="C159" s="1" t="s">
        <v>79</v>
      </c>
      <c r="D159" s="1" t="s">
        <v>533</v>
      </c>
    </row>
    <row r="160">
      <c r="A160" s="1" t="s">
        <v>534</v>
      </c>
      <c r="B160" s="1" t="s">
        <v>535</v>
      </c>
      <c r="C160" s="1" t="s">
        <v>536</v>
      </c>
      <c r="D160" s="1" t="s">
        <v>537</v>
      </c>
    </row>
    <row r="161">
      <c r="A161" s="1" t="s">
        <v>511</v>
      </c>
      <c r="B161" s="1" t="s">
        <v>511</v>
      </c>
      <c r="C161" s="1" t="s">
        <v>79</v>
      </c>
      <c r="F161" s="1" t="s">
        <v>538</v>
      </c>
    </row>
    <row r="162">
      <c r="A162" s="1" t="s">
        <v>539</v>
      </c>
      <c r="E162" s="1" t="s">
        <v>540</v>
      </c>
    </row>
    <row r="163">
      <c r="A163" s="1" t="s">
        <v>541</v>
      </c>
      <c r="B163" s="1" t="s">
        <v>511</v>
      </c>
      <c r="C163" s="1" t="s">
        <v>79</v>
      </c>
      <c r="D163" s="1" t="s">
        <v>542</v>
      </c>
    </row>
    <row r="164">
      <c r="A164" s="1" t="s">
        <v>543</v>
      </c>
      <c r="B164" s="1" t="s">
        <v>511</v>
      </c>
      <c r="C164" s="1" t="s">
        <v>79</v>
      </c>
      <c r="D164" s="1" t="s">
        <v>544</v>
      </c>
    </row>
    <row r="165">
      <c r="A165" s="1" t="s">
        <v>545</v>
      </c>
      <c r="B165" s="1" t="s">
        <v>511</v>
      </c>
      <c r="C165" s="1" t="s">
        <v>79</v>
      </c>
      <c r="D165" s="1" t="s">
        <v>546</v>
      </c>
      <c r="E165" s="1" t="s">
        <v>547</v>
      </c>
      <c r="F165" s="1" t="s">
        <v>548</v>
      </c>
    </row>
    <row r="166">
      <c r="A166" s="1" t="s">
        <v>549</v>
      </c>
      <c r="B166" s="1" t="s">
        <v>550</v>
      </c>
      <c r="C166" s="1" t="s">
        <v>49</v>
      </c>
      <c r="D166" s="1" t="s">
        <v>551</v>
      </c>
    </row>
    <row r="167">
      <c r="A167" s="1" t="s">
        <v>552</v>
      </c>
      <c r="B167" s="1" t="s">
        <v>464</v>
      </c>
      <c r="C167" s="1" t="s">
        <v>21</v>
      </c>
      <c r="D167" s="1" t="s">
        <v>553</v>
      </c>
    </row>
    <row r="168">
      <c r="A168" s="1" t="s">
        <v>554</v>
      </c>
      <c r="B168" s="1" t="s">
        <v>555</v>
      </c>
      <c r="C168" s="1" t="s">
        <v>556</v>
      </c>
      <c r="E168" s="1" t="s">
        <v>557</v>
      </c>
    </row>
    <row r="169">
      <c r="A169" s="1" t="s">
        <v>558</v>
      </c>
      <c r="D169" s="1" t="s">
        <v>559</v>
      </c>
    </row>
    <row r="170">
      <c r="A170" s="1" t="s">
        <v>560</v>
      </c>
      <c r="B170" s="1" t="s">
        <v>36</v>
      </c>
      <c r="C170" s="1" t="s">
        <v>37</v>
      </c>
      <c r="E170" s="1" t="s">
        <v>561</v>
      </c>
      <c r="F170" s="1" t="s">
        <v>562</v>
      </c>
    </row>
    <row r="171">
      <c r="A171" s="1" t="s">
        <v>563</v>
      </c>
      <c r="D171" s="1" t="s">
        <v>564</v>
      </c>
    </row>
    <row r="172">
      <c r="A172" s="1" t="s">
        <v>565</v>
      </c>
      <c r="B172" s="1" t="s">
        <v>566</v>
      </c>
      <c r="C172" s="1" t="s">
        <v>260</v>
      </c>
      <c r="D172" s="1" t="s">
        <v>567</v>
      </c>
    </row>
    <row r="173">
      <c r="A173" s="1" t="s">
        <v>568</v>
      </c>
      <c r="B173" s="1" t="s">
        <v>569</v>
      </c>
      <c r="C173" s="1" t="s">
        <v>74</v>
      </c>
      <c r="D173" s="1" t="s">
        <v>570</v>
      </c>
    </row>
    <row r="174">
      <c r="A174" s="1" t="s">
        <v>571</v>
      </c>
      <c r="B174" s="1" t="s">
        <v>569</v>
      </c>
      <c r="C174" s="1" t="s">
        <v>74</v>
      </c>
      <c r="D174" s="1" t="s">
        <v>572</v>
      </c>
    </row>
    <row r="175">
      <c r="A175" s="1" t="s">
        <v>573</v>
      </c>
      <c r="B175" s="1" t="s">
        <v>569</v>
      </c>
      <c r="C175" s="1" t="s">
        <v>74</v>
      </c>
      <c r="D175" s="1" t="s">
        <v>574</v>
      </c>
      <c r="F175" s="1" t="s">
        <v>575</v>
      </c>
    </row>
    <row r="176">
      <c r="A176" s="1" t="s">
        <v>576</v>
      </c>
      <c r="B176" s="1" t="s">
        <v>100</v>
      </c>
      <c r="C176" s="1" t="s">
        <v>101</v>
      </c>
      <c r="D176" s="1" t="s">
        <v>577</v>
      </c>
    </row>
    <row r="177">
      <c r="A177" s="1" t="s">
        <v>578</v>
      </c>
      <c r="B177" s="1" t="s">
        <v>579</v>
      </c>
      <c r="C177" s="1" t="s">
        <v>269</v>
      </c>
      <c r="D177" s="1" t="s">
        <v>580</v>
      </c>
      <c r="F177" s="1" t="s">
        <v>581</v>
      </c>
    </row>
    <row r="178">
      <c r="A178" s="1" t="s">
        <v>582</v>
      </c>
      <c r="B178" s="1" t="s">
        <v>36</v>
      </c>
      <c r="C178" s="1" t="s">
        <v>37</v>
      </c>
      <c r="D178" s="1" t="s">
        <v>583</v>
      </c>
    </row>
    <row r="179">
      <c r="A179" s="1" t="s">
        <v>584</v>
      </c>
      <c r="B179" s="1" t="s">
        <v>390</v>
      </c>
      <c r="C179" s="1" t="s">
        <v>391</v>
      </c>
      <c r="D179" s="1" t="s">
        <v>585</v>
      </c>
    </row>
    <row r="180">
      <c r="A180" s="1" t="s">
        <v>586</v>
      </c>
      <c r="B180" s="1" t="s">
        <v>36</v>
      </c>
      <c r="C180" s="1" t="s">
        <v>37</v>
      </c>
      <c r="D180" s="1" t="s">
        <v>587</v>
      </c>
    </row>
    <row r="181">
      <c r="A181" s="1" t="s">
        <v>588</v>
      </c>
      <c r="B181" s="1" t="s">
        <v>464</v>
      </c>
      <c r="C181" s="1" t="s">
        <v>21</v>
      </c>
      <c r="D181" s="1" t="s">
        <v>589</v>
      </c>
    </row>
    <row r="182">
      <c r="A182" s="1" t="s">
        <v>590</v>
      </c>
      <c r="B182" s="1" t="s">
        <v>591</v>
      </c>
      <c r="C182" s="1" t="s">
        <v>79</v>
      </c>
      <c r="D182" s="1" t="s">
        <v>592</v>
      </c>
    </row>
    <row r="183">
      <c r="A183" s="1" t="s">
        <v>593</v>
      </c>
      <c r="B183" s="1" t="s">
        <v>591</v>
      </c>
      <c r="C183" s="1" t="s">
        <v>79</v>
      </c>
      <c r="D183" s="1" t="s">
        <v>594</v>
      </c>
    </row>
    <row r="184">
      <c r="A184" s="1" t="s">
        <v>595</v>
      </c>
      <c r="B184" s="1" t="s">
        <v>259</v>
      </c>
      <c r="C184" s="1" t="s">
        <v>260</v>
      </c>
      <c r="D184" s="1" t="s">
        <v>596</v>
      </c>
    </row>
    <row r="185">
      <c r="A185" s="1" t="s">
        <v>597</v>
      </c>
      <c r="E185" s="1" t="s">
        <v>598</v>
      </c>
    </row>
    <row r="186">
      <c r="A186" s="1" t="s">
        <v>599</v>
      </c>
      <c r="E186" s="1" t="s">
        <v>600</v>
      </c>
    </row>
    <row r="187">
      <c r="A187" s="1" t="s">
        <v>601</v>
      </c>
      <c r="B187" s="1" t="s">
        <v>205</v>
      </c>
      <c r="C187" s="1" t="s">
        <v>79</v>
      </c>
      <c r="D187" s="1" t="s">
        <v>602</v>
      </c>
      <c r="F187" s="1" t="s">
        <v>603</v>
      </c>
    </row>
    <row r="188">
      <c r="A188" s="1" t="s">
        <v>604</v>
      </c>
      <c r="B188" s="1" t="s">
        <v>36</v>
      </c>
      <c r="C188" s="1" t="s">
        <v>37</v>
      </c>
      <c r="E188" s="1" t="s">
        <v>605</v>
      </c>
    </row>
    <row r="189">
      <c r="A189" s="1" t="s">
        <v>606</v>
      </c>
      <c r="B189" s="1" t="s">
        <v>607</v>
      </c>
      <c r="C189" s="1" t="s">
        <v>608</v>
      </c>
      <c r="E189" s="1" t="s">
        <v>609</v>
      </c>
    </row>
    <row r="190">
      <c r="A190" s="1" t="s">
        <v>610</v>
      </c>
      <c r="D190" s="1" t="s">
        <v>611</v>
      </c>
    </row>
    <row r="191">
      <c r="A191" s="1" t="s">
        <v>612</v>
      </c>
      <c r="B191" s="1" t="s">
        <v>36</v>
      </c>
      <c r="C191" s="1" t="s">
        <v>37</v>
      </c>
      <c r="E191" s="1" t="s">
        <v>613</v>
      </c>
    </row>
    <row r="192">
      <c r="A192" s="1" t="s">
        <v>614</v>
      </c>
      <c r="E192" s="1" t="s">
        <v>615</v>
      </c>
    </row>
    <row r="193">
      <c r="A193" s="1" t="s">
        <v>616</v>
      </c>
      <c r="B193" s="1" t="s">
        <v>91</v>
      </c>
      <c r="C193" s="1" t="s">
        <v>31</v>
      </c>
      <c r="D193" s="1" t="s">
        <v>617</v>
      </c>
    </row>
    <row r="194">
      <c r="A194" s="1" t="s">
        <v>618</v>
      </c>
      <c r="B194" s="1" t="s">
        <v>281</v>
      </c>
      <c r="C194" s="1" t="s">
        <v>49</v>
      </c>
      <c r="D194" s="1" t="s">
        <v>619</v>
      </c>
    </row>
    <row r="195">
      <c r="A195" s="1" t="s">
        <v>620</v>
      </c>
      <c r="B195" s="1" t="s">
        <v>511</v>
      </c>
      <c r="C195" s="1" t="s">
        <v>79</v>
      </c>
      <c r="D195" s="1" t="s">
        <v>621</v>
      </c>
    </row>
    <row r="196">
      <c r="A196" s="1" t="s">
        <v>622</v>
      </c>
      <c r="B196" s="1" t="s">
        <v>511</v>
      </c>
      <c r="C196" s="1" t="s">
        <v>79</v>
      </c>
      <c r="D196" s="1" t="s">
        <v>623</v>
      </c>
    </row>
    <row r="197">
      <c r="A197" s="1" t="s">
        <v>624</v>
      </c>
      <c r="B197" s="1" t="s">
        <v>625</v>
      </c>
      <c r="C197" s="1" t="s">
        <v>7</v>
      </c>
      <c r="D197" s="1" t="s">
        <v>626</v>
      </c>
    </row>
    <row r="198">
      <c r="A198" s="1" t="s">
        <v>627</v>
      </c>
      <c r="B198" s="1" t="s">
        <v>625</v>
      </c>
      <c r="C198" s="1" t="s">
        <v>7</v>
      </c>
      <c r="D198" s="1" t="s">
        <v>628</v>
      </c>
    </row>
    <row r="199">
      <c r="A199" s="1" t="s">
        <v>629</v>
      </c>
      <c r="B199" s="1" t="s">
        <v>629</v>
      </c>
      <c r="C199" s="1" t="s">
        <v>37</v>
      </c>
      <c r="F199" s="1" t="s">
        <v>630</v>
      </c>
    </row>
    <row r="200">
      <c r="A200" s="1" t="s">
        <v>631</v>
      </c>
      <c r="B200" s="1" t="s">
        <v>281</v>
      </c>
      <c r="C200" s="1" t="s">
        <v>49</v>
      </c>
      <c r="E200" s="1" t="s">
        <v>632</v>
      </c>
    </row>
    <row r="201">
      <c r="A201" s="1" t="s">
        <v>633</v>
      </c>
      <c r="E201" s="1" t="s">
        <v>634</v>
      </c>
    </row>
    <row r="202">
      <c r="A202" s="1" t="s">
        <v>635</v>
      </c>
      <c r="D202" s="1" t="s">
        <v>636</v>
      </c>
    </row>
    <row r="203">
      <c r="A203" s="1" t="s">
        <v>637</v>
      </c>
      <c r="B203" s="1" t="s">
        <v>359</v>
      </c>
      <c r="C203" s="1" t="s">
        <v>45</v>
      </c>
      <c r="D203" s="1" t="s">
        <v>638</v>
      </c>
    </row>
    <row r="204">
      <c r="A204" s="1" t="s">
        <v>639</v>
      </c>
      <c r="B204" s="1" t="s">
        <v>36</v>
      </c>
      <c r="C204" s="1" t="s">
        <v>37</v>
      </c>
      <c r="E204" s="1" t="s">
        <v>640</v>
      </c>
    </row>
    <row r="205">
      <c r="A205" s="1" t="s">
        <v>641</v>
      </c>
      <c r="B205" s="1" t="s">
        <v>642</v>
      </c>
      <c r="C205" s="1" t="s">
        <v>49</v>
      </c>
      <c r="E205" s="1" t="s">
        <v>643</v>
      </c>
    </row>
    <row r="206">
      <c r="A206" s="1" t="s">
        <v>644</v>
      </c>
      <c r="B206" s="1" t="s">
        <v>91</v>
      </c>
      <c r="C206" s="1" t="s">
        <v>31</v>
      </c>
      <c r="D206" s="1" t="s">
        <v>645</v>
      </c>
    </row>
    <row r="207">
      <c r="A207" s="1" t="s">
        <v>646</v>
      </c>
      <c r="B207" s="1" t="s">
        <v>647</v>
      </c>
      <c r="C207" s="1" t="s">
        <v>299</v>
      </c>
      <c r="D207" s="1" t="s">
        <v>648</v>
      </c>
    </row>
    <row r="208">
      <c r="A208" s="1" t="s">
        <v>649</v>
      </c>
      <c r="B208" s="1" t="s">
        <v>650</v>
      </c>
      <c r="C208" s="1" t="s">
        <v>651</v>
      </c>
      <c r="D208" s="1" t="s">
        <v>652</v>
      </c>
    </row>
    <row r="209">
      <c r="A209" s="1" t="s">
        <v>653</v>
      </c>
      <c r="D209" s="1" t="s">
        <v>654</v>
      </c>
    </row>
    <row r="210">
      <c r="A210" s="1" t="s">
        <v>655</v>
      </c>
      <c r="B210" s="1" t="s">
        <v>656</v>
      </c>
      <c r="C210" s="1" t="s">
        <v>657</v>
      </c>
      <c r="D210" s="1" t="s">
        <v>658</v>
      </c>
    </row>
    <row r="211">
      <c r="A211" s="1" t="s">
        <v>659</v>
      </c>
      <c r="B211" s="1" t="s">
        <v>660</v>
      </c>
      <c r="C211" s="1" t="s">
        <v>651</v>
      </c>
      <c r="D211" s="1" t="s">
        <v>661</v>
      </c>
    </row>
    <row r="212">
      <c r="A212" s="1" t="s">
        <v>662</v>
      </c>
      <c r="B212" s="1" t="s">
        <v>424</v>
      </c>
      <c r="C212" s="1" t="s">
        <v>5</v>
      </c>
      <c r="D212" s="1" t="s">
        <v>663</v>
      </c>
    </row>
    <row r="213">
      <c r="A213" s="1" t="s">
        <v>664</v>
      </c>
      <c r="B213" s="1" t="s">
        <v>665</v>
      </c>
      <c r="C213" s="1" t="s">
        <v>49</v>
      </c>
      <c r="D213" s="1" t="s">
        <v>666</v>
      </c>
    </row>
    <row r="214">
      <c r="A214" s="1" t="s">
        <v>667</v>
      </c>
      <c r="B214" s="1" t="s">
        <v>665</v>
      </c>
      <c r="C214" s="1" t="s">
        <v>49</v>
      </c>
      <c r="D214" s="1" t="s">
        <v>668</v>
      </c>
    </row>
    <row r="215">
      <c r="A215" s="1" t="s">
        <v>669</v>
      </c>
      <c r="B215" s="1" t="s">
        <v>665</v>
      </c>
      <c r="C215" s="1" t="s">
        <v>49</v>
      </c>
      <c r="E215" s="1" t="s">
        <v>670</v>
      </c>
    </row>
    <row r="216">
      <c r="A216" s="1" t="s">
        <v>671</v>
      </c>
      <c r="B216" s="1" t="s">
        <v>671</v>
      </c>
      <c r="C216" s="1" t="s">
        <v>45</v>
      </c>
      <c r="D216" s="1" t="s">
        <v>672</v>
      </c>
      <c r="E216" s="1" t="s">
        <v>673</v>
      </c>
      <c r="F216" s="1" t="s">
        <v>674</v>
      </c>
    </row>
    <row r="217">
      <c r="A217" s="1" t="s">
        <v>675</v>
      </c>
      <c r="E217" s="1" t="s">
        <v>676</v>
      </c>
    </row>
    <row r="218">
      <c r="A218" s="1" t="s">
        <v>677</v>
      </c>
      <c r="E218" s="1" t="s">
        <v>678</v>
      </c>
    </row>
    <row r="219">
      <c r="A219" s="1" t="s">
        <v>679</v>
      </c>
      <c r="B219" s="1" t="s">
        <v>680</v>
      </c>
      <c r="C219" s="1" t="s">
        <v>391</v>
      </c>
      <c r="D219" s="1" t="s">
        <v>681</v>
      </c>
    </row>
    <row r="220">
      <c r="A220" s="1" t="s">
        <v>682</v>
      </c>
      <c r="E220" s="1" t="s">
        <v>683</v>
      </c>
    </row>
    <row r="221">
      <c r="A221" s="1" t="s">
        <v>684</v>
      </c>
      <c r="B221" s="1" t="s">
        <v>91</v>
      </c>
      <c r="C221" s="1" t="s">
        <v>31</v>
      </c>
      <c r="D221" s="1" t="s">
        <v>685</v>
      </c>
    </row>
    <row r="222">
      <c r="A222" s="1" t="s">
        <v>686</v>
      </c>
      <c r="B222" s="1" t="s">
        <v>91</v>
      </c>
      <c r="C222" s="1" t="s">
        <v>31</v>
      </c>
      <c r="D222" s="1" t="s">
        <v>687</v>
      </c>
    </row>
    <row r="223">
      <c r="A223" s="1" t="s">
        <v>688</v>
      </c>
      <c r="B223" s="1" t="s">
        <v>36</v>
      </c>
      <c r="C223" s="1" t="s">
        <v>37</v>
      </c>
      <c r="F223" s="1" t="s">
        <v>689</v>
      </c>
    </row>
    <row r="224">
      <c r="A224" s="1" t="s">
        <v>690</v>
      </c>
      <c r="D224" s="1" t="s">
        <v>691</v>
      </c>
    </row>
    <row r="225">
      <c r="A225" s="1" t="s">
        <v>692</v>
      </c>
      <c r="B225" s="1" t="s">
        <v>36</v>
      </c>
      <c r="C225" s="1" t="s">
        <v>37</v>
      </c>
      <c r="D225" s="1" t="s">
        <v>693</v>
      </c>
    </row>
    <row r="226">
      <c r="A226" s="1" t="s">
        <v>36</v>
      </c>
      <c r="B226" s="1" t="s">
        <v>36</v>
      </c>
      <c r="C226" s="1" t="s">
        <v>37</v>
      </c>
      <c r="D226" s="1" t="s">
        <v>694</v>
      </c>
      <c r="E226" s="1" t="s">
        <v>695</v>
      </c>
      <c r="F226" s="1" t="s">
        <v>696</v>
      </c>
    </row>
    <row r="227">
      <c r="A227" s="1" t="s">
        <v>697</v>
      </c>
      <c r="E227" s="1" t="s">
        <v>698</v>
      </c>
    </row>
    <row r="228">
      <c r="A228" s="1" t="s">
        <v>699</v>
      </c>
      <c r="E228" s="1" t="s">
        <v>700</v>
      </c>
    </row>
    <row r="229">
      <c r="A229" s="1" t="s">
        <v>701</v>
      </c>
      <c r="B229" s="1" t="s">
        <v>91</v>
      </c>
      <c r="C229" s="1" t="s">
        <v>31</v>
      </c>
      <c r="D229" s="1" t="s">
        <v>702</v>
      </c>
    </row>
    <row r="230">
      <c r="A230" s="1" t="s">
        <v>703</v>
      </c>
      <c r="B230" s="1" t="s">
        <v>703</v>
      </c>
      <c r="C230" s="1" t="s">
        <v>37</v>
      </c>
      <c r="D230" s="1" t="s">
        <v>704</v>
      </c>
      <c r="E230" s="1" t="s">
        <v>705</v>
      </c>
      <c r="F230" s="1" t="s">
        <v>706</v>
      </c>
    </row>
    <row r="231">
      <c r="A231" s="1" t="s">
        <v>707</v>
      </c>
      <c r="E231" s="1" t="s">
        <v>708</v>
      </c>
    </row>
    <row r="232">
      <c r="A232" s="1" t="s">
        <v>709</v>
      </c>
      <c r="E232" s="1" t="s">
        <v>710</v>
      </c>
    </row>
    <row r="233">
      <c r="A233" s="1" t="s">
        <v>711</v>
      </c>
      <c r="B233" s="1" t="s">
        <v>712</v>
      </c>
      <c r="C233" s="1" t="s">
        <v>713</v>
      </c>
      <c r="D233" s="1" t="s">
        <v>714</v>
      </c>
    </row>
    <row r="234">
      <c r="A234" s="1" t="s">
        <v>715</v>
      </c>
      <c r="B234" s="1" t="s">
        <v>716</v>
      </c>
      <c r="C234" s="1" t="s">
        <v>79</v>
      </c>
      <c r="D234" s="1" t="s">
        <v>717</v>
      </c>
    </row>
    <row r="235">
      <c r="A235" s="1" t="s">
        <v>718</v>
      </c>
      <c r="B235" s="1" t="s">
        <v>716</v>
      </c>
      <c r="C235" s="1" t="s">
        <v>79</v>
      </c>
      <c r="D235" s="1" t="s">
        <v>719</v>
      </c>
    </row>
    <row r="236">
      <c r="A236" s="1" t="s">
        <v>720</v>
      </c>
      <c r="B236" s="1" t="s">
        <v>720</v>
      </c>
      <c r="C236" s="1" t="s">
        <v>79</v>
      </c>
      <c r="D236" s="1" t="s">
        <v>721</v>
      </c>
    </row>
    <row r="237">
      <c r="A237" s="1" t="s">
        <v>722</v>
      </c>
      <c r="B237" s="1" t="s">
        <v>106</v>
      </c>
      <c r="C237" s="1" t="s">
        <v>108</v>
      </c>
      <c r="D237" s="1" t="s">
        <v>723</v>
      </c>
    </row>
    <row r="238">
      <c r="A238" s="1" t="s">
        <v>724</v>
      </c>
      <c r="B238" s="1" t="s">
        <v>716</v>
      </c>
      <c r="C238" s="1" t="s">
        <v>79</v>
      </c>
      <c r="E238" s="1" t="s">
        <v>725</v>
      </c>
      <c r="F238" s="1" t="s">
        <v>726</v>
      </c>
    </row>
    <row r="239">
      <c r="A239" s="1" t="s">
        <v>727</v>
      </c>
      <c r="B239" s="1" t="s">
        <v>106</v>
      </c>
      <c r="C239" s="1" t="s">
        <v>108</v>
      </c>
      <c r="D239" s="1" t="s">
        <v>728</v>
      </c>
    </row>
    <row r="240">
      <c r="A240" s="1" t="s">
        <v>729</v>
      </c>
      <c r="E240" s="1" t="s">
        <v>730</v>
      </c>
    </row>
    <row r="241">
      <c r="A241" s="1" t="s">
        <v>731</v>
      </c>
      <c r="B241" s="1" t="s">
        <v>91</v>
      </c>
      <c r="C241" s="1" t="s">
        <v>31</v>
      </c>
      <c r="D241" s="1" t="s">
        <v>732</v>
      </c>
    </row>
    <row r="242">
      <c r="A242" s="1" t="s">
        <v>733</v>
      </c>
      <c r="B242" s="1" t="s">
        <v>91</v>
      </c>
      <c r="C242" s="1" t="s">
        <v>31</v>
      </c>
      <c r="D242" s="1" t="s">
        <v>734</v>
      </c>
    </row>
    <row r="243">
      <c r="A243" s="1" t="s">
        <v>735</v>
      </c>
      <c r="B243" s="1" t="s">
        <v>91</v>
      </c>
      <c r="C243" s="1" t="s">
        <v>31</v>
      </c>
      <c r="D243" s="1" t="s">
        <v>736</v>
      </c>
    </row>
    <row r="244">
      <c r="A244" s="1" t="s">
        <v>737</v>
      </c>
      <c r="B244" s="1" t="s">
        <v>91</v>
      </c>
      <c r="C244" s="1" t="s">
        <v>31</v>
      </c>
      <c r="D244" s="1" t="s">
        <v>738</v>
      </c>
    </row>
    <row r="245">
      <c r="A245" s="1" t="s">
        <v>739</v>
      </c>
      <c r="B245" s="1" t="s">
        <v>740</v>
      </c>
      <c r="C245" s="1" t="s">
        <v>108</v>
      </c>
      <c r="D245" s="1" t="s">
        <v>741</v>
      </c>
    </row>
    <row r="246">
      <c r="A246" s="1" t="s">
        <v>742</v>
      </c>
      <c r="B246" s="1" t="s">
        <v>106</v>
      </c>
      <c r="C246" s="1" t="s">
        <v>108</v>
      </c>
      <c r="E246" s="1" t="s">
        <v>743</v>
      </c>
    </row>
    <row r="247">
      <c r="A247" s="1" t="s">
        <v>106</v>
      </c>
      <c r="B247" s="1" t="s">
        <v>106</v>
      </c>
      <c r="C247" s="1" t="s">
        <v>108</v>
      </c>
      <c r="D247" s="1" t="s">
        <v>744</v>
      </c>
    </row>
    <row r="248">
      <c r="A248" s="1" t="s">
        <v>745</v>
      </c>
      <c r="B248" s="1" t="s">
        <v>746</v>
      </c>
      <c r="C248" s="1" t="s">
        <v>747</v>
      </c>
      <c r="D248" s="1" t="s">
        <v>748</v>
      </c>
      <c r="F248" s="1" t="s">
        <v>749</v>
      </c>
    </row>
    <row r="249">
      <c r="A249" s="1" t="s">
        <v>750</v>
      </c>
      <c r="B249" s="1" t="s">
        <v>740</v>
      </c>
      <c r="C249" s="1" t="s">
        <v>108</v>
      </c>
      <c r="D249" s="1" t="s">
        <v>751</v>
      </c>
    </row>
    <row r="250">
      <c r="A250" s="1" t="s">
        <v>752</v>
      </c>
      <c r="B250" s="1" t="s">
        <v>106</v>
      </c>
      <c r="C250" s="1" t="s">
        <v>108</v>
      </c>
      <c r="D250" s="1" t="s">
        <v>753</v>
      </c>
      <c r="E250" s="1" t="s">
        <v>754</v>
      </c>
      <c r="F250" s="1" t="s">
        <v>755</v>
      </c>
    </row>
    <row r="251">
      <c r="A251" s="1" t="s">
        <v>756</v>
      </c>
      <c r="E251" s="1" t="s">
        <v>757</v>
      </c>
    </row>
    <row r="252">
      <c r="A252" s="1" t="s">
        <v>758</v>
      </c>
      <c r="E252" s="1" t="s">
        <v>759</v>
      </c>
    </row>
    <row r="253">
      <c r="A253" s="1" t="s">
        <v>760</v>
      </c>
      <c r="B253" s="1" t="s">
        <v>511</v>
      </c>
      <c r="C253" s="1" t="s">
        <v>79</v>
      </c>
      <c r="F253" s="1" t="s">
        <v>761</v>
      </c>
    </row>
    <row r="254">
      <c r="A254" s="1" t="s">
        <v>762</v>
      </c>
      <c r="B254" s="1" t="s">
        <v>461</v>
      </c>
      <c r="C254" s="1" t="s">
        <v>108</v>
      </c>
      <c r="D254" s="1" t="s">
        <v>763</v>
      </c>
    </row>
    <row r="255">
      <c r="A255" s="1" t="s">
        <v>489</v>
      </c>
      <c r="B255" s="1" t="s">
        <v>489</v>
      </c>
      <c r="C255" s="1" t="s">
        <v>61</v>
      </c>
      <c r="D255" s="1" t="s">
        <v>764</v>
      </c>
      <c r="E255" s="1" t="s">
        <v>765</v>
      </c>
      <c r="F255" s="1" t="s">
        <v>766</v>
      </c>
    </row>
    <row r="256">
      <c r="A256" s="1" t="s">
        <v>767</v>
      </c>
      <c r="E256" s="1" t="s">
        <v>768</v>
      </c>
    </row>
    <row r="257">
      <c r="A257" s="1" t="s">
        <v>769</v>
      </c>
      <c r="E257" s="1" t="s">
        <v>770</v>
      </c>
    </row>
    <row r="258">
      <c r="A258" s="1" t="s">
        <v>771</v>
      </c>
      <c r="B258" s="1" t="s">
        <v>772</v>
      </c>
      <c r="C258" s="1" t="s">
        <v>773</v>
      </c>
      <c r="D258" s="1" t="s">
        <v>774</v>
      </c>
    </row>
    <row r="259">
      <c r="A259" s="1" t="s">
        <v>775</v>
      </c>
      <c r="E259" s="1" t="s">
        <v>776</v>
      </c>
    </row>
    <row r="260">
      <c r="A260" s="1" t="s">
        <v>777</v>
      </c>
      <c r="B260" s="1" t="s">
        <v>772</v>
      </c>
      <c r="C260" s="1" t="s">
        <v>773</v>
      </c>
      <c r="D260" s="1" t="s">
        <v>778</v>
      </c>
    </row>
    <row r="261">
      <c r="A261" s="1" t="s">
        <v>779</v>
      </c>
      <c r="B261" s="1" t="s">
        <v>779</v>
      </c>
      <c r="D261" s="1" t="s">
        <v>780</v>
      </c>
      <c r="F261" s="1" t="s">
        <v>781</v>
      </c>
    </row>
    <row r="262">
      <c r="A262" s="1" t="s">
        <v>782</v>
      </c>
      <c r="B262" s="1" t="s">
        <v>772</v>
      </c>
      <c r="C262" s="1" t="s">
        <v>773</v>
      </c>
      <c r="D262" s="1" t="s">
        <v>783</v>
      </c>
    </row>
    <row r="263">
      <c r="A263" s="1" t="s">
        <v>784</v>
      </c>
      <c r="B263" s="1" t="s">
        <v>785</v>
      </c>
      <c r="C263" s="1" t="s">
        <v>61</v>
      </c>
      <c r="D263" s="1" t="s">
        <v>786</v>
      </c>
    </row>
    <row r="264">
      <c r="A264" s="1" t="s">
        <v>787</v>
      </c>
      <c r="B264" s="1" t="s">
        <v>489</v>
      </c>
      <c r="C264" s="1" t="s">
        <v>61</v>
      </c>
      <c r="D264" s="1" t="s">
        <v>788</v>
      </c>
    </row>
    <row r="265">
      <c r="A265" s="1" t="s">
        <v>789</v>
      </c>
      <c r="B265" s="1" t="s">
        <v>489</v>
      </c>
      <c r="C265" s="1" t="s">
        <v>61</v>
      </c>
      <c r="D265" s="1" t="s">
        <v>790</v>
      </c>
    </row>
    <row r="266">
      <c r="A266" s="1" t="s">
        <v>791</v>
      </c>
      <c r="B266" s="1" t="s">
        <v>489</v>
      </c>
      <c r="C266" s="1" t="s">
        <v>61</v>
      </c>
      <c r="D266" s="1" t="s">
        <v>792</v>
      </c>
    </row>
    <row r="267">
      <c r="A267" s="1" t="s">
        <v>793</v>
      </c>
      <c r="B267" s="1" t="s">
        <v>489</v>
      </c>
      <c r="C267" s="1" t="s">
        <v>61</v>
      </c>
      <c r="D267" s="1" t="s">
        <v>794</v>
      </c>
    </row>
    <row r="268">
      <c r="A268" s="1" t="s">
        <v>795</v>
      </c>
      <c r="B268" s="1" t="s">
        <v>489</v>
      </c>
      <c r="C268" s="1" t="s">
        <v>61</v>
      </c>
      <c r="D268" s="1" t="s">
        <v>796</v>
      </c>
    </row>
    <row r="269">
      <c r="A269" s="1" t="s">
        <v>797</v>
      </c>
      <c r="B269" s="1" t="s">
        <v>489</v>
      </c>
      <c r="C269" s="1" t="s">
        <v>61</v>
      </c>
      <c r="D269" s="1" t="s">
        <v>798</v>
      </c>
    </row>
    <row r="270">
      <c r="A270" s="1" t="s">
        <v>799</v>
      </c>
      <c r="B270" s="1" t="s">
        <v>489</v>
      </c>
      <c r="C270" s="1" t="s">
        <v>61</v>
      </c>
      <c r="D270" s="1" t="s">
        <v>800</v>
      </c>
    </row>
    <row r="271">
      <c r="A271" s="1" t="s">
        <v>801</v>
      </c>
      <c r="E271" s="1" t="s">
        <v>802</v>
      </c>
    </row>
    <row r="272">
      <c r="A272" s="1" t="s">
        <v>803</v>
      </c>
      <c r="E272" s="1" t="s">
        <v>804</v>
      </c>
    </row>
    <row r="273">
      <c r="A273" s="1" t="s">
        <v>805</v>
      </c>
      <c r="E273" s="1" t="s">
        <v>806</v>
      </c>
    </row>
    <row r="274">
      <c r="A274" s="1" t="s">
        <v>807</v>
      </c>
      <c r="B274" s="1" t="s">
        <v>36</v>
      </c>
      <c r="C274" s="1" t="s">
        <v>37</v>
      </c>
      <c r="E274" s="1" t="s">
        <v>808</v>
      </c>
    </row>
    <row r="275">
      <c r="A275" s="1" t="s">
        <v>809</v>
      </c>
      <c r="E275" s="1" t="s">
        <v>810</v>
      </c>
    </row>
    <row r="276">
      <c r="A276" s="1" t="s">
        <v>566</v>
      </c>
      <c r="B276" s="1" t="s">
        <v>566</v>
      </c>
      <c r="C276" s="1" t="s">
        <v>260</v>
      </c>
      <c r="D276" s="1" t="s">
        <v>811</v>
      </c>
      <c r="E276" s="1" t="s">
        <v>812</v>
      </c>
      <c r="F276" s="1" t="s">
        <v>813</v>
      </c>
    </row>
    <row r="277">
      <c r="A277" s="1" t="s">
        <v>814</v>
      </c>
      <c r="B277" s="1" t="s">
        <v>566</v>
      </c>
      <c r="C277" s="1" t="s">
        <v>260</v>
      </c>
      <c r="D277" s="1" t="s">
        <v>815</v>
      </c>
    </row>
    <row r="278">
      <c r="A278" s="1" t="s">
        <v>816</v>
      </c>
      <c r="B278" s="1" t="s">
        <v>642</v>
      </c>
      <c r="C278" s="1" t="s">
        <v>49</v>
      </c>
      <c r="D278" s="1" t="s">
        <v>817</v>
      </c>
    </row>
    <row r="279">
      <c r="A279" s="1" t="s">
        <v>818</v>
      </c>
      <c r="B279" s="1" t="s">
        <v>819</v>
      </c>
      <c r="C279" s="1" t="s">
        <v>820</v>
      </c>
      <c r="D279" s="1" t="s">
        <v>821</v>
      </c>
    </row>
    <row r="280">
      <c r="A280" s="1" t="s">
        <v>822</v>
      </c>
      <c r="B280" s="1" t="s">
        <v>642</v>
      </c>
      <c r="C280" s="1" t="s">
        <v>49</v>
      </c>
      <c r="D280" s="1" t="s">
        <v>823</v>
      </c>
    </row>
    <row r="281">
      <c r="A281" s="1" t="s">
        <v>824</v>
      </c>
      <c r="E281" s="1" t="s">
        <v>825</v>
      </c>
    </row>
    <row r="282">
      <c r="A282" s="1" t="s">
        <v>826</v>
      </c>
      <c r="B282" s="1" t="s">
        <v>642</v>
      </c>
      <c r="C282" s="1" t="s">
        <v>49</v>
      </c>
      <c r="D282" s="1" t="s">
        <v>827</v>
      </c>
      <c r="F282" s="1" t="s">
        <v>828</v>
      </c>
    </row>
    <row r="283">
      <c r="A283" s="1" t="s">
        <v>642</v>
      </c>
      <c r="B283" s="1" t="s">
        <v>642</v>
      </c>
      <c r="C283" s="1" t="s">
        <v>49</v>
      </c>
      <c r="D283" s="1" t="s">
        <v>829</v>
      </c>
      <c r="F283" s="1" t="s">
        <v>830</v>
      </c>
    </row>
    <row r="284">
      <c r="A284" s="1" t="s">
        <v>831</v>
      </c>
      <c r="B284" s="1" t="s">
        <v>281</v>
      </c>
      <c r="C284" s="1" t="s">
        <v>49</v>
      </c>
      <c r="E284" s="1" t="s">
        <v>832</v>
      </c>
    </row>
    <row r="285">
      <c r="A285" s="1" t="s">
        <v>833</v>
      </c>
      <c r="E285" s="1" t="s">
        <v>834</v>
      </c>
    </row>
    <row r="286">
      <c r="A286" s="1" t="s">
        <v>835</v>
      </c>
      <c r="D286" s="1" t="s">
        <v>836</v>
      </c>
    </row>
    <row r="287">
      <c r="A287" s="1" t="s">
        <v>837</v>
      </c>
      <c r="E287" s="1" t="s">
        <v>838</v>
      </c>
    </row>
    <row r="288">
      <c r="A288" s="1" t="s">
        <v>839</v>
      </c>
      <c r="D288" s="1" t="s">
        <v>840</v>
      </c>
    </row>
    <row r="289">
      <c r="A289" s="1" t="s">
        <v>841</v>
      </c>
      <c r="B289" s="1" t="s">
        <v>281</v>
      </c>
      <c r="C289" s="1" t="s">
        <v>49</v>
      </c>
      <c r="D289" s="1" t="s">
        <v>842</v>
      </c>
    </row>
    <row r="290">
      <c r="A290" s="1" t="s">
        <v>843</v>
      </c>
      <c r="B290" s="1" t="s">
        <v>281</v>
      </c>
      <c r="C290" s="1" t="s">
        <v>49</v>
      </c>
      <c r="D290" s="1" t="s">
        <v>844</v>
      </c>
    </row>
    <row r="291">
      <c r="A291" s="1" t="s">
        <v>845</v>
      </c>
      <c r="B291" s="1" t="s">
        <v>846</v>
      </c>
      <c r="C291" s="1" t="s">
        <v>32</v>
      </c>
      <c r="D291" s="1" t="s">
        <v>847</v>
      </c>
    </row>
    <row r="292">
      <c r="A292" s="1" t="s">
        <v>848</v>
      </c>
      <c r="B292" s="1" t="s">
        <v>849</v>
      </c>
      <c r="C292" s="1" t="s">
        <v>850</v>
      </c>
      <c r="E292" s="1" t="s">
        <v>851</v>
      </c>
    </row>
    <row r="293">
      <c r="A293" s="1" t="s">
        <v>852</v>
      </c>
      <c r="B293" s="1" t="s">
        <v>853</v>
      </c>
      <c r="C293" s="1" t="s">
        <v>74</v>
      </c>
      <c r="D293" s="1" t="s">
        <v>854</v>
      </c>
    </row>
    <row r="294">
      <c r="A294" s="1" t="s">
        <v>855</v>
      </c>
      <c r="B294" s="1" t="s">
        <v>853</v>
      </c>
      <c r="C294" s="1" t="s">
        <v>74</v>
      </c>
      <c r="D294" s="1" t="s">
        <v>856</v>
      </c>
    </row>
    <row r="295">
      <c r="A295" s="1" t="s">
        <v>857</v>
      </c>
      <c r="B295" s="1" t="s">
        <v>853</v>
      </c>
      <c r="C295" s="1" t="s">
        <v>74</v>
      </c>
      <c r="D295" s="1" t="s">
        <v>858</v>
      </c>
    </row>
    <row r="296">
      <c r="A296" s="1" t="s">
        <v>853</v>
      </c>
      <c r="B296" s="1" t="s">
        <v>853</v>
      </c>
      <c r="C296" s="1" t="s">
        <v>74</v>
      </c>
      <c r="E296" s="1" t="s">
        <v>859</v>
      </c>
      <c r="F296" s="1" t="s">
        <v>860</v>
      </c>
    </row>
    <row r="297">
      <c r="A297" s="1" t="s">
        <v>861</v>
      </c>
      <c r="B297" s="1" t="s">
        <v>853</v>
      </c>
      <c r="C297" s="1" t="s">
        <v>74</v>
      </c>
      <c r="D297" s="1" t="s">
        <v>862</v>
      </c>
    </row>
    <row r="298">
      <c r="A298" s="1" t="s">
        <v>863</v>
      </c>
      <c r="E298" s="1" t="s">
        <v>864</v>
      </c>
    </row>
    <row r="299">
      <c r="A299" s="1" t="s">
        <v>865</v>
      </c>
      <c r="E299" s="1" t="s">
        <v>866</v>
      </c>
    </row>
    <row r="300">
      <c r="A300" s="1" t="s">
        <v>867</v>
      </c>
      <c r="B300" s="1" t="s">
        <v>868</v>
      </c>
      <c r="C300" s="1" t="s">
        <v>869</v>
      </c>
      <c r="E300" s="1" t="s">
        <v>870</v>
      </c>
    </row>
    <row r="301">
      <c r="A301" s="1" t="s">
        <v>871</v>
      </c>
      <c r="B301" s="1" t="s">
        <v>871</v>
      </c>
      <c r="C301" s="1" t="s">
        <v>56</v>
      </c>
      <c r="D301" s="1" t="s">
        <v>872</v>
      </c>
      <c r="F301" s="1" t="s">
        <v>873</v>
      </c>
    </row>
    <row r="302">
      <c r="A302" s="1" t="s">
        <v>874</v>
      </c>
      <c r="B302" s="1" t="s">
        <v>785</v>
      </c>
      <c r="C302" s="1" t="s">
        <v>61</v>
      </c>
      <c r="D302" s="1" t="s">
        <v>875</v>
      </c>
      <c r="F302" s="1" t="s">
        <v>876</v>
      </c>
    </row>
    <row r="303">
      <c r="A303" s="1" t="s">
        <v>293</v>
      </c>
      <c r="B303" s="1" t="s">
        <v>293</v>
      </c>
      <c r="C303" s="1" t="s">
        <v>45</v>
      </c>
      <c r="D303" s="1" t="s">
        <v>877</v>
      </c>
      <c r="E303" s="1" t="s">
        <v>878</v>
      </c>
      <c r="F303" s="1" t="s">
        <v>879</v>
      </c>
    </row>
    <row r="304">
      <c r="A304" s="1" t="s">
        <v>880</v>
      </c>
      <c r="E304" s="1" t="s">
        <v>881</v>
      </c>
    </row>
    <row r="305">
      <c r="A305" s="1" t="s">
        <v>882</v>
      </c>
      <c r="E305" s="1" t="s">
        <v>883</v>
      </c>
    </row>
    <row r="306">
      <c r="A306" s="1" t="s">
        <v>884</v>
      </c>
      <c r="E306" s="1" t="s">
        <v>885</v>
      </c>
    </row>
    <row r="307">
      <c r="A307" s="1" t="s">
        <v>886</v>
      </c>
      <c r="B307" s="1" t="s">
        <v>116</v>
      </c>
      <c r="C307" s="1" t="s">
        <v>56</v>
      </c>
      <c r="D307" s="1" t="s">
        <v>887</v>
      </c>
    </row>
    <row r="308">
      <c r="A308" s="1" t="s">
        <v>888</v>
      </c>
      <c r="B308" s="1" t="s">
        <v>359</v>
      </c>
      <c r="C308" s="1" t="s">
        <v>45</v>
      </c>
      <c r="D308" s="1" t="s">
        <v>889</v>
      </c>
    </row>
    <row r="309">
      <c r="A309" s="1" t="s">
        <v>890</v>
      </c>
      <c r="B309" s="1" t="s">
        <v>359</v>
      </c>
      <c r="C309" s="1" t="s">
        <v>45</v>
      </c>
      <c r="D309" s="1" t="s">
        <v>891</v>
      </c>
    </row>
    <row r="310">
      <c r="A310" s="1" t="s">
        <v>892</v>
      </c>
      <c r="B310" s="1" t="s">
        <v>893</v>
      </c>
      <c r="C310" s="1" t="s">
        <v>299</v>
      </c>
      <c r="D310" s="1" t="s">
        <v>894</v>
      </c>
    </row>
    <row r="311">
      <c r="A311" s="1" t="s">
        <v>895</v>
      </c>
      <c r="B311" s="1" t="s">
        <v>100</v>
      </c>
      <c r="C311" s="1" t="s">
        <v>101</v>
      </c>
      <c r="D311" s="1" t="s">
        <v>896</v>
      </c>
    </row>
    <row r="312">
      <c r="A312" s="1" t="s">
        <v>897</v>
      </c>
      <c r="D312" s="1" t="s">
        <v>898</v>
      </c>
    </row>
    <row r="313">
      <c r="A313" s="1" t="s">
        <v>899</v>
      </c>
      <c r="D313" s="1" t="s">
        <v>900</v>
      </c>
    </row>
    <row r="314">
      <c r="A314" s="1" t="s">
        <v>901</v>
      </c>
      <c r="B314" s="1" t="s">
        <v>902</v>
      </c>
      <c r="C314" s="1" t="s">
        <v>903</v>
      </c>
      <c r="D314" s="1" t="s">
        <v>904</v>
      </c>
    </row>
    <row r="315">
      <c r="A315" s="1" t="s">
        <v>905</v>
      </c>
      <c r="D315" s="1" t="s">
        <v>906</v>
      </c>
    </row>
    <row r="316">
      <c r="A316" s="1" t="s">
        <v>907</v>
      </c>
      <c r="B316" s="1" t="s">
        <v>907</v>
      </c>
      <c r="C316" s="1" t="s">
        <v>5</v>
      </c>
      <c r="D316" s="1" t="s">
        <v>908</v>
      </c>
      <c r="F316" s="1" t="s">
        <v>909</v>
      </c>
    </row>
    <row r="317">
      <c r="A317" s="1" t="s">
        <v>910</v>
      </c>
      <c r="E317" s="1" t="s">
        <v>911</v>
      </c>
    </row>
    <row r="318">
      <c r="A318" s="1" t="s">
        <v>912</v>
      </c>
      <c r="E318" s="1" t="s">
        <v>913</v>
      </c>
    </row>
    <row r="319">
      <c r="A319" s="1" t="s">
        <v>914</v>
      </c>
      <c r="B319" s="1" t="s">
        <v>915</v>
      </c>
      <c r="C319" s="1" t="s">
        <v>916</v>
      </c>
      <c r="D319" s="1" t="s">
        <v>917</v>
      </c>
    </row>
    <row r="320">
      <c r="A320" s="1" t="s">
        <v>918</v>
      </c>
      <c r="B320" s="1" t="s">
        <v>919</v>
      </c>
      <c r="C320" s="1" t="s">
        <v>5</v>
      </c>
      <c r="E320" s="1" t="s">
        <v>920</v>
      </c>
    </row>
    <row r="321">
      <c r="A321" s="1" t="s">
        <v>921</v>
      </c>
      <c r="B321" s="1" t="s">
        <v>846</v>
      </c>
      <c r="C321" s="1" t="s">
        <v>32</v>
      </c>
      <c r="D321" s="1" t="s">
        <v>922</v>
      </c>
    </row>
    <row r="322">
      <c r="A322" s="1" t="s">
        <v>923</v>
      </c>
      <c r="D322" s="1" t="s">
        <v>924</v>
      </c>
    </row>
    <row r="323">
      <c r="A323" s="1" t="s">
        <v>925</v>
      </c>
      <c r="D323" s="1" t="s">
        <v>926</v>
      </c>
    </row>
    <row r="324">
      <c r="A324" s="1" t="s">
        <v>927</v>
      </c>
      <c r="B324" s="1" t="s">
        <v>43</v>
      </c>
      <c r="C324" s="1" t="s">
        <v>45</v>
      </c>
      <c r="E324" s="1" t="s">
        <v>928</v>
      </c>
    </row>
    <row r="325">
      <c r="A325" s="1" t="s">
        <v>929</v>
      </c>
      <c r="B325" s="1" t="s">
        <v>259</v>
      </c>
      <c r="C325" s="1" t="s">
        <v>260</v>
      </c>
      <c r="D325" s="1" t="s">
        <v>930</v>
      </c>
    </row>
    <row r="326">
      <c r="A326" s="1" t="s">
        <v>931</v>
      </c>
      <c r="B326" s="1" t="s">
        <v>106</v>
      </c>
      <c r="C326" s="1" t="s">
        <v>108</v>
      </c>
      <c r="D326" s="1" t="s">
        <v>932</v>
      </c>
    </row>
    <row r="327">
      <c r="A327" s="1" t="s">
        <v>933</v>
      </c>
      <c r="D327" s="1" t="s">
        <v>934</v>
      </c>
    </row>
    <row r="328">
      <c r="A328" s="1" t="s">
        <v>935</v>
      </c>
      <c r="B328" s="1" t="s">
        <v>936</v>
      </c>
      <c r="C328" s="1" t="s">
        <v>65</v>
      </c>
      <c r="D328" s="1" t="s">
        <v>937</v>
      </c>
    </row>
    <row r="329">
      <c r="A329" s="1" t="s">
        <v>938</v>
      </c>
      <c r="B329" s="1" t="s">
        <v>938</v>
      </c>
      <c r="C329" s="1" t="s">
        <v>65</v>
      </c>
      <c r="D329" s="1" t="s">
        <v>939</v>
      </c>
      <c r="E329" s="1" t="s">
        <v>940</v>
      </c>
      <c r="F329" s="1" t="s">
        <v>941</v>
      </c>
    </row>
    <row r="330">
      <c r="A330" s="1" t="s">
        <v>942</v>
      </c>
      <c r="B330" s="1" t="s">
        <v>943</v>
      </c>
      <c r="C330" s="1" t="s">
        <v>299</v>
      </c>
      <c r="D330" s="1" t="s">
        <v>944</v>
      </c>
    </row>
    <row r="331">
      <c r="A331" s="1" t="s">
        <v>945</v>
      </c>
      <c r="E331" s="1" t="s">
        <v>946</v>
      </c>
    </row>
    <row r="332">
      <c r="A332" s="1" t="s">
        <v>947</v>
      </c>
      <c r="E332" s="1" t="s">
        <v>948</v>
      </c>
    </row>
    <row r="333">
      <c r="A333" s="1" t="s">
        <v>949</v>
      </c>
      <c r="B333" s="1" t="s">
        <v>949</v>
      </c>
      <c r="C333" s="1" t="s">
        <v>65</v>
      </c>
      <c r="D333" s="1" t="s">
        <v>950</v>
      </c>
      <c r="E333" s="1" t="s">
        <v>951</v>
      </c>
      <c r="F333" s="1" t="s">
        <v>952</v>
      </c>
    </row>
    <row r="334">
      <c r="A334" s="1" t="s">
        <v>953</v>
      </c>
      <c r="E334" s="1" t="s">
        <v>954</v>
      </c>
    </row>
    <row r="335">
      <c r="A335" s="1" t="s">
        <v>955</v>
      </c>
      <c r="E335" s="1" t="s">
        <v>956</v>
      </c>
    </row>
    <row r="336">
      <c r="A336" s="1" t="s">
        <v>957</v>
      </c>
      <c r="B336" s="1" t="s">
        <v>957</v>
      </c>
      <c r="C336" s="1" t="s">
        <v>5</v>
      </c>
      <c r="D336" s="1" t="s">
        <v>958</v>
      </c>
      <c r="F336" s="1" t="s">
        <v>959</v>
      </c>
    </row>
    <row r="337">
      <c r="A337" s="1" t="s">
        <v>960</v>
      </c>
      <c r="B337" s="1" t="s">
        <v>961</v>
      </c>
      <c r="C337" s="1" t="s">
        <v>916</v>
      </c>
      <c r="D337" s="1" t="s">
        <v>962</v>
      </c>
    </row>
    <row r="338">
      <c r="A338" s="1" t="s">
        <v>963</v>
      </c>
      <c r="E338" s="1" t="s">
        <v>964</v>
      </c>
    </row>
    <row r="339">
      <c r="A339" s="1" t="s">
        <v>965</v>
      </c>
      <c r="E339" s="1" t="s">
        <v>966</v>
      </c>
    </row>
    <row r="340">
      <c r="A340" s="1" t="s">
        <v>967</v>
      </c>
      <c r="B340" s="1" t="s">
        <v>968</v>
      </c>
      <c r="C340" s="1" t="s">
        <v>969</v>
      </c>
      <c r="E340" s="1" t="s">
        <v>970</v>
      </c>
    </row>
    <row r="341">
      <c r="A341" s="1" t="s">
        <v>971</v>
      </c>
      <c r="B341" s="1" t="s">
        <v>972</v>
      </c>
      <c r="C341" s="1" t="s">
        <v>74</v>
      </c>
      <c r="D341" s="1" t="s">
        <v>973</v>
      </c>
    </row>
    <row r="342">
      <c r="A342" s="1" t="s">
        <v>972</v>
      </c>
      <c r="B342" s="1" t="s">
        <v>972</v>
      </c>
      <c r="C342" s="1" t="s">
        <v>74</v>
      </c>
      <c r="D342" s="1" t="s">
        <v>974</v>
      </c>
      <c r="F342" s="1" t="s">
        <v>975</v>
      </c>
    </row>
    <row r="343">
      <c r="A343" s="1" t="s">
        <v>976</v>
      </c>
      <c r="B343" s="1" t="s">
        <v>972</v>
      </c>
      <c r="C343" s="1" t="s">
        <v>74</v>
      </c>
      <c r="D343" s="1" t="s">
        <v>977</v>
      </c>
    </row>
    <row r="344">
      <c r="A344" s="1" t="s">
        <v>978</v>
      </c>
      <c r="B344" s="1" t="s">
        <v>968</v>
      </c>
      <c r="C344" s="1" t="s">
        <v>969</v>
      </c>
      <c r="D344" s="1" t="s">
        <v>979</v>
      </c>
      <c r="E344" s="1" t="s">
        <v>980</v>
      </c>
      <c r="F344" s="1" t="s">
        <v>981</v>
      </c>
    </row>
    <row r="345">
      <c r="A345" s="1" t="s">
        <v>982</v>
      </c>
      <c r="F345" s="1" t="s">
        <v>983</v>
      </c>
    </row>
    <row r="346">
      <c r="A346" s="1" t="s">
        <v>984</v>
      </c>
      <c r="B346" s="1" t="s">
        <v>625</v>
      </c>
      <c r="C346" s="1" t="s">
        <v>7</v>
      </c>
      <c r="E346" s="1" t="s">
        <v>985</v>
      </c>
    </row>
    <row r="347">
      <c r="A347" s="1" t="s">
        <v>986</v>
      </c>
      <c r="B347" s="1" t="s">
        <v>625</v>
      </c>
      <c r="C347" s="1" t="s">
        <v>7</v>
      </c>
      <c r="D347" s="1" t="s">
        <v>987</v>
      </c>
    </row>
    <row r="348">
      <c r="A348" s="1" t="s">
        <v>988</v>
      </c>
      <c r="B348" s="1" t="s">
        <v>281</v>
      </c>
      <c r="C348" s="1" t="s">
        <v>49</v>
      </c>
      <c r="E348" s="1" t="s">
        <v>989</v>
      </c>
    </row>
    <row r="349">
      <c r="A349" s="1" t="s">
        <v>990</v>
      </c>
      <c r="B349" s="1" t="s">
        <v>36</v>
      </c>
      <c r="C349" s="1" t="s">
        <v>37</v>
      </c>
      <c r="F349" s="1" t="s">
        <v>991</v>
      </c>
    </row>
    <row r="350">
      <c r="A350" s="1" t="s">
        <v>992</v>
      </c>
      <c r="B350" s="1" t="s">
        <v>36</v>
      </c>
      <c r="C350" s="1" t="s">
        <v>37</v>
      </c>
      <c r="E350" s="1" t="s">
        <v>993</v>
      </c>
    </row>
    <row r="351">
      <c r="A351" s="1" t="s">
        <v>478</v>
      </c>
      <c r="B351" s="1" t="s">
        <v>478</v>
      </c>
      <c r="C351" s="1" t="s">
        <v>56</v>
      </c>
      <c r="D351" s="1" t="s">
        <v>994</v>
      </c>
    </row>
    <row r="352">
      <c r="A352" s="1" t="s">
        <v>995</v>
      </c>
      <c r="B352" s="1" t="s">
        <v>432</v>
      </c>
      <c r="C352" s="1" t="s">
        <v>12</v>
      </c>
      <c r="D352" s="1" t="s">
        <v>996</v>
      </c>
      <c r="F352" s="1" t="s">
        <v>997</v>
      </c>
    </row>
    <row r="353">
      <c r="A353" s="1" t="s">
        <v>998</v>
      </c>
      <c r="B353" s="1" t="s">
        <v>36</v>
      </c>
      <c r="C353" s="1" t="s">
        <v>37</v>
      </c>
      <c r="E353" s="1" t="s">
        <v>999</v>
      </c>
    </row>
    <row r="354">
      <c r="A354" s="1" t="s">
        <v>1000</v>
      </c>
      <c r="B354" s="1" t="s">
        <v>284</v>
      </c>
      <c r="C354" s="1" t="s">
        <v>74</v>
      </c>
      <c r="D354" s="1" t="s">
        <v>1001</v>
      </c>
    </row>
    <row r="355">
      <c r="A355" s="1" t="s">
        <v>1002</v>
      </c>
      <c r="E355" s="1" t="s">
        <v>1003</v>
      </c>
    </row>
    <row r="356">
      <c r="A356" s="1" t="s">
        <v>1004</v>
      </c>
      <c r="E356" s="1" t="s">
        <v>1005</v>
      </c>
    </row>
    <row r="357">
      <c r="A357" s="1" t="s">
        <v>1006</v>
      </c>
      <c r="B357" s="1" t="s">
        <v>281</v>
      </c>
      <c r="C357" s="1" t="s">
        <v>49</v>
      </c>
      <c r="D357" s="1" t="s">
        <v>1007</v>
      </c>
    </row>
    <row r="358">
      <c r="A358" s="1" t="s">
        <v>1008</v>
      </c>
      <c r="B358" s="1" t="s">
        <v>281</v>
      </c>
      <c r="C358" s="1" t="s">
        <v>49</v>
      </c>
      <c r="D358" s="1" t="s">
        <v>1009</v>
      </c>
    </row>
    <row r="359">
      <c r="A359" s="1" t="s">
        <v>1010</v>
      </c>
      <c r="B359" s="1" t="s">
        <v>1010</v>
      </c>
      <c r="C359" s="1" t="s">
        <v>69</v>
      </c>
      <c r="D359" s="1" t="s">
        <v>1011</v>
      </c>
    </row>
    <row r="360">
      <c r="A360" s="1" t="s">
        <v>1012</v>
      </c>
      <c r="B360" s="1" t="s">
        <v>1013</v>
      </c>
      <c r="C360" s="1" t="s">
        <v>1014</v>
      </c>
      <c r="D360" s="1" t="s">
        <v>1015</v>
      </c>
    </row>
    <row r="361">
      <c r="A361" s="1" t="s">
        <v>1016</v>
      </c>
      <c r="B361" s="1" t="s">
        <v>1016</v>
      </c>
      <c r="C361" s="1" t="s">
        <v>24</v>
      </c>
      <c r="D361" s="1" t="s">
        <v>1017</v>
      </c>
    </row>
    <row r="362">
      <c r="A362" s="1" t="s">
        <v>1018</v>
      </c>
      <c r="B362" s="1" t="s">
        <v>1010</v>
      </c>
      <c r="C362" s="1" t="s">
        <v>69</v>
      </c>
      <c r="D362" s="1" t="s">
        <v>1019</v>
      </c>
    </row>
    <row r="363">
      <c r="A363" s="1" t="s">
        <v>1020</v>
      </c>
      <c r="B363" s="1" t="s">
        <v>281</v>
      </c>
      <c r="C363" s="1" t="s">
        <v>49</v>
      </c>
      <c r="D363" s="1" t="s">
        <v>1021</v>
      </c>
    </row>
    <row r="364">
      <c r="A364" s="1" t="s">
        <v>1022</v>
      </c>
      <c r="B364" s="1" t="s">
        <v>100</v>
      </c>
      <c r="C364" s="1" t="s">
        <v>101</v>
      </c>
      <c r="F364" s="1" t="s">
        <v>1023</v>
      </c>
    </row>
    <row r="365">
      <c r="A365" s="1" t="s">
        <v>1024</v>
      </c>
      <c r="B365" s="1" t="s">
        <v>424</v>
      </c>
      <c r="C365" s="1" t="s">
        <v>5</v>
      </c>
      <c r="F365" s="1" t="s">
        <v>1025</v>
      </c>
    </row>
    <row r="366">
      <c r="A366" s="1" t="s">
        <v>1026</v>
      </c>
      <c r="B366" s="1" t="s">
        <v>1026</v>
      </c>
      <c r="C366" s="1" t="s">
        <v>7</v>
      </c>
      <c r="D366" s="1" t="s">
        <v>1027</v>
      </c>
      <c r="E366" s="1" t="s">
        <v>1028</v>
      </c>
      <c r="F366" s="1" t="s">
        <v>1029</v>
      </c>
    </row>
    <row r="367">
      <c r="A367" s="1" t="s">
        <v>1030</v>
      </c>
      <c r="E367" s="1" t="s">
        <v>1031</v>
      </c>
    </row>
    <row r="368">
      <c r="A368" s="1" t="s">
        <v>1032</v>
      </c>
      <c r="E368" s="1" t="s">
        <v>1033</v>
      </c>
    </row>
    <row r="369">
      <c r="A369" s="1" t="s">
        <v>1034</v>
      </c>
      <c r="D369" s="1" t="s">
        <v>1035</v>
      </c>
    </row>
    <row r="370">
      <c r="A370" s="1" t="s">
        <v>1036</v>
      </c>
      <c r="D370" s="1" t="s">
        <v>1037</v>
      </c>
      <c r="E370" s="1" t="s">
        <v>1038</v>
      </c>
      <c r="F370" s="1" t="s">
        <v>1039</v>
      </c>
    </row>
    <row r="371">
      <c r="A371" s="1" t="s">
        <v>1040</v>
      </c>
      <c r="B371" s="1" t="s">
        <v>116</v>
      </c>
      <c r="C371" s="1" t="s">
        <v>56</v>
      </c>
      <c r="D371" s="1" t="s">
        <v>1041</v>
      </c>
    </row>
    <row r="372">
      <c r="A372" s="1" t="s">
        <v>1042</v>
      </c>
      <c r="E372" s="1" t="s">
        <v>1043</v>
      </c>
    </row>
    <row r="373">
      <c r="A373" s="1" t="s">
        <v>1044</v>
      </c>
      <c r="B373" s="1" t="s">
        <v>703</v>
      </c>
      <c r="C373" s="1" t="s">
        <v>37</v>
      </c>
      <c r="D373" s="1" t="s">
        <v>1045</v>
      </c>
    </row>
    <row r="374">
      <c r="A374" s="1" t="s">
        <v>1046</v>
      </c>
      <c r="B374" s="1" t="s">
        <v>359</v>
      </c>
      <c r="C374" s="1" t="s">
        <v>45</v>
      </c>
      <c r="D374" s="1" t="s">
        <v>1047</v>
      </c>
    </row>
    <row r="375">
      <c r="A375" s="1" t="s">
        <v>1048</v>
      </c>
      <c r="B375" s="1" t="s">
        <v>1049</v>
      </c>
      <c r="C375" s="1" t="s">
        <v>75</v>
      </c>
      <c r="E375" s="1" t="s">
        <v>1050</v>
      </c>
    </row>
    <row r="376">
      <c r="A376" s="1" t="s">
        <v>1051</v>
      </c>
      <c r="B376" s="1" t="s">
        <v>359</v>
      </c>
      <c r="C376" s="1" t="s">
        <v>45</v>
      </c>
      <c r="D376" s="1" t="s">
        <v>1052</v>
      </c>
    </row>
    <row r="377">
      <c r="A377" s="1" t="s">
        <v>1053</v>
      </c>
      <c r="E377" s="1" t="s">
        <v>1054</v>
      </c>
    </row>
    <row r="378">
      <c r="A378" s="1" t="s">
        <v>1055</v>
      </c>
      <c r="D378" s="1" t="s">
        <v>1056</v>
      </c>
    </row>
    <row r="379">
      <c r="A379" s="1" t="s">
        <v>1057</v>
      </c>
      <c r="F379" s="1" t="s">
        <v>1058</v>
      </c>
    </row>
    <row r="380">
      <c r="A380" s="1" t="s">
        <v>1059</v>
      </c>
      <c r="B380" s="1" t="s">
        <v>91</v>
      </c>
      <c r="C380" s="1" t="s">
        <v>31</v>
      </c>
      <c r="D380" s="1" t="s">
        <v>1060</v>
      </c>
    </row>
    <row r="381">
      <c r="A381" s="1" t="s">
        <v>1061</v>
      </c>
      <c r="B381" s="1" t="s">
        <v>853</v>
      </c>
      <c r="C381" s="1" t="s">
        <v>74</v>
      </c>
      <c r="D381" s="1" t="s">
        <v>1062</v>
      </c>
    </row>
    <row r="382">
      <c r="A382" s="1" t="s">
        <v>1063</v>
      </c>
      <c r="B382" s="1" t="s">
        <v>1064</v>
      </c>
      <c r="C382" s="1" t="s">
        <v>5</v>
      </c>
      <c r="D382" s="1" t="s">
        <v>1065</v>
      </c>
    </row>
    <row r="383">
      <c r="A383" s="1" t="s">
        <v>1066</v>
      </c>
      <c r="D383" s="1" t="s">
        <v>1067</v>
      </c>
    </row>
    <row r="384">
      <c r="A384" s="1" t="s">
        <v>1068</v>
      </c>
      <c r="B384" s="1" t="s">
        <v>1069</v>
      </c>
      <c r="C384" s="1" t="s">
        <v>79</v>
      </c>
      <c r="D384" s="1" t="s">
        <v>1070</v>
      </c>
    </row>
    <row r="385">
      <c r="A385" s="1" t="s">
        <v>1069</v>
      </c>
      <c r="B385" s="1" t="s">
        <v>1069</v>
      </c>
      <c r="C385" s="1" t="s">
        <v>79</v>
      </c>
      <c r="D385" s="1" t="s">
        <v>1071</v>
      </c>
      <c r="E385" s="1" t="s">
        <v>1072</v>
      </c>
      <c r="F385" s="1" t="s">
        <v>1073</v>
      </c>
    </row>
    <row r="386">
      <c r="A386" s="1" t="s">
        <v>1074</v>
      </c>
      <c r="B386" s="1" t="s">
        <v>1074</v>
      </c>
      <c r="C386" s="1" t="s">
        <v>1075</v>
      </c>
      <c r="D386" s="1" t="s">
        <v>1076</v>
      </c>
    </row>
    <row r="387">
      <c r="A387" s="1" t="s">
        <v>1077</v>
      </c>
      <c r="B387" s="1" t="s">
        <v>1078</v>
      </c>
      <c r="C387" s="1" t="s">
        <v>1079</v>
      </c>
      <c r="E387" s="1" t="s">
        <v>1080</v>
      </c>
    </row>
    <row r="388">
      <c r="A388" s="1" t="s">
        <v>1081</v>
      </c>
      <c r="B388" s="1" t="s">
        <v>91</v>
      </c>
      <c r="C388" s="1" t="s">
        <v>31</v>
      </c>
      <c r="F388" s="1" t="s">
        <v>1082</v>
      </c>
    </row>
    <row r="389">
      <c r="A389" s="1" t="s">
        <v>1083</v>
      </c>
      <c r="B389" s="1" t="s">
        <v>642</v>
      </c>
      <c r="C389" s="1" t="s">
        <v>49</v>
      </c>
      <c r="E389" s="1" t="s">
        <v>1084</v>
      </c>
    </row>
    <row r="390">
      <c r="A390" s="1" t="s">
        <v>1085</v>
      </c>
      <c r="B390" s="1" t="s">
        <v>36</v>
      </c>
      <c r="C390" s="1" t="s">
        <v>37</v>
      </c>
      <c r="E390" s="1" t="s">
        <v>1086</v>
      </c>
    </row>
    <row r="391">
      <c r="A391" s="1" t="s">
        <v>1087</v>
      </c>
      <c r="D391" s="1" t="s">
        <v>1088</v>
      </c>
    </row>
    <row r="392">
      <c r="A392" s="1" t="s">
        <v>1089</v>
      </c>
      <c r="D392" s="1" t="s">
        <v>1090</v>
      </c>
    </row>
    <row r="393">
      <c r="A393" s="1" t="s">
        <v>1091</v>
      </c>
      <c r="E393" s="1" t="s">
        <v>1092</v>
      </c>
    </row>
    <row r="394">
      <c r="A394" s="1" t="s">
        <v>1093</v>
      </c>
      <c r="D394" s="1" t="s">
        <v>1094</v>
      </c>
    </row>
    <row r="395">
      <c r="A395" s="1" t="s">
        <v>1095</v>
      </c>
      <c r="B395" s="1" t="s">
        <v>91</v>
      </c>
      <c r="C395" s="1" t="s">
        <v>31</v>
      </c>
      <c r="D395" s="1" t="s">
        <v>1096</v>
      </c>
    </row>
    <row r="396">
      <c r="A396" s="1" t="s">
        <v>1097</v>
      </c>
      <c r="B396" s="1" t="s">
        <v>1098</v>
      </c>
      <c r="C396" s="1" t="s">
        <v>713</v>
      </c>
      <c r="D396" s="1" t="s">
        <v>1099</v>
      </c>
    </row>
    <row r="397">
      <c r="A397" s="1" t="s">
        <v>1100</v>
      </c>
      <c r="B397" s="1" t="s">
        <v>91</v>
      </c>
      <c r="C397" s="1" t="s">
        <v>31</v>
      </c>
      <c r="D397" s="1" t="s">
        <v>1101</v>
      </c>
    </row>
    <row r="398">
      <c r="A398" s="1" t="s">
        <v>1102</v>
      </c>
      <c r="B398" s="1" t="s">
        <v>91</v>
      </c>
      <c r="C398" s="1" t="s">
        <v>31</v>
      </c>
      <c r="D398" s="1" t="s">
        <v>1103</v>
      </c>
    </row>
    <row r="399">
      <c r="A399" s="1" t="s">
        <v>1104</v>
      </c>
      <c r="B399" s="1" t="s">
        <v>1104</v>
      </c>
      <c r="C399" s="1" t="s">
        <v>24</v>
      </c>
      <c r="D399" s="1" t="s">
        <v>1105</v>
      </c>
      <c r="F399" s="1" t="s">
        <v>1106</v>
      </c>
    </row>
    <row r="400">
      <c r="A400" s="1" t="s">
        <v>1107</v>
      </c>
      <c r="E400" s="1" t="s">
        <v>1108</v>
      </c>
    </row>
    <row r="401">
      <c r="A401" s="1" t="s">
        <v>1109</v>
      </c>
      <c r="E401" s="1" t="s">
        <v>1110</v>
      </c>
    </row>
    <row r="402">
      <c r="A402" s="1" t="s">
        <v>1111</v>
      </c>
      <c r="B402" s="1" t="s">
        <v>100</v>
      </c>
      <c r="C402" s="1" t="s">
        <v>101</v>
      </c>
      <c r="E402" s="1" t="s">
        <v>1112</v>
      </c>
    </row>
    <row r="403">
      <c r="A403" s="1" t="s">
        <v>846</v>
      </c>
      <c r="B403" s="1" t="s">
        <v>846</v>
      </c>
      <c r="C403" s="1" t="s">
        <v>32</v>
      </c>
      <c r="D403" s="1" t="s">
        <v>1113</v>
      </c>
      <c r="E403" s="1" t="s">
        <v>1114</v>
      </c>
      <c r="F403" s="1" t="s">
        <v>1115</v>
      </c>
    </row>
    <row r="404">
      <c r="A404" s="1" t="s">
        <v>1116</v>
      </c>
      <c r="E404" s="1" t="s">
        <v>1117</v>
      </c>
    </row>
    <row r="405">
      <c r="A405" s="1" t="s">
        <v>1118</v>
      </c>
      <c r="B405" s="1" t="s">
        <v>359</v>
      </c>
      <c r="C405" s="1" t="s">
        <v>45</v>
      </c>
      <c r="D405" s="1" t="s">
        <v>1119</v>
      </c>
    </row>
    <row r="406">
      <c r="A406" s="1" t="s">
        <v>1120</v>
      </c>
      <c r="D406" s="1" t="s">
        <v>1121</v>
      </c>
      <c r="E406" s="1" t="s">
        <v>1122</v>
      </c>
    </row>
    <row r="407">
      <c r="A407" s="1" t="s">
        <v>1123</v>
      </c>
      <c r="B407" s="1" t="s">
        <v>116</v>
      </c>
      <c r="C407" s="1" t="s">
        <v>56</v>
      </c>
      <c r="D407" s="1" t="s">
        <v>1124</v>
      </c>
    </row>
    <row r="408">
      <c r="A408" s="1" t="s">
        <v>1125</v>
      </c>
      <c r="B408" s="1" t="s">
        <v>293</v>
      </c>
      <c r="C408" s="1" t="s">
        <v>45</v>
      </c>
      <c r="E408" s="1" t="s">
        <v>1126</v>
      </c>
    </row>
    <row r="409">
      <c r="A409" s="1" t="s">
        <v>1127</v>
      </c>
      <c r="B409" s="1" t="s">
        <v>1128</v>
      </c>
      <c r="C409" s="1" t="s">
        <v>1129</v>
      </c>
      <c r="E409" s="1" t="s">
        <v>1130</v>
      </c>
    </row>
    <row r="410">
      <c r="A410" s="1" t="s">
        <v>1131</v>
      </c>
      <c r="B410" s="1" t="s">
        <v>1131</v>
      </c>
      <c r="C410" s="1" t="s">
        <v>5</v>
      </c>
      <c r="D410" s="1" t="s">
        <v>1132</v>
      </c>
      <c r="E410" s="1" t="s">
        <v>1133</v>
      </c>
      <c r="F410" s="1" t="s">
        <v>1134</v>
      </c>
    </row>
    <row r="411">
      <c r="A411" s="1" t="s">
        <v>1135</v>
      </c>
      <c r="B411" s="1" t="s">
        <v>1135</v>
      </c>
      <c r="C411" s="1" t="s">
        <v>5</v>
      </c>
      <c r="D411" s="1" t="s">
        <v>1136</v>
      </c>
      <c r="F411" s="1" t="s">
        <v>1137</v>
      </c>
    </row>
    <row r="412">
      <c r="A412" s="1" t="s">
        <v>1138</v>
      </c>
      <c r="B412" s="1" t="s">
        <v>424</v>
      </c>
      <c r="C412" s="1" t="s">
        <v>5</v>
      </c>
      <c r="F412" s="1" t="s">
        <v>1139</v>
      </c>
    </row>
    <row r="413">
      <c r="A413" s="1" t="s">
        <v>1140</v>
      </c>
      <c r="B413" s="1" t="s">
        <v>785</v>
      </c>
      <c r="C413" s="1" t="s">
        <v>61</v>
      </c>
      <c r="D413" s="1" t="s">
        <v>1141</v>
      </c>
      <c r="F413" s="1" t="s">
        <v>1142</v>
      </c>
    </row>
    <row r="414">
      <c r="A414" s="1" t="s">
        <v>1143</v>
      </c>
      <c r="E414" s="1" t="s">
        <v>1144</v>
      </c>
    </row>
    <row r="415">
      <c r="A415" s="1" t="s">
        <v>1145</v>
      </c>
      <c r="E415" s="1" t="s">
        <v>1146</v>
      </c>
    </row>
    <row r="416">
      <c r="A416" s="1" t="s">
        <v>1147</v>
      </c>
      <c r="E416" s="1" t="s">
        <v>1148</v>
      </c>
    </row>
    <row r="417">
      <c r="A417" s="1" t="s">
        <v>1149</v>
      </c>
      <c r="E417" s="1" t="s">
        <v>1150</v>
      </c>
    </row>
    <row r="418">
      <c r="A418" s="1" t="s">
        <v>1151</v>
      </c>
      <c r="B418" s="1" t="s">
        <v>281</v>
      </c>
      <c r="C418" s="1" t="s">
        <v>49</v>
      </c>
      <c r="D418" s="1" t="s">
        <v>1152</v>
      </c>
    </row>
    <row r="419">
      <c r="A419" s="1" t="s">
        <v>1153</v>
      </c>
      <c r="E419" s="1" t="s">
        <v>1154</v>
      </c>
    </row>
    <row r="420">
      <c r="A420" s="1" t="s">
        <v>1155</v>
      </c>
      <c r="E420" s="1" t="s">
        <v>1156</v>
      </c>
    </row>
    <row r="421">
      <c r="A421" s="1" t="s">
        <v>1157</v>
      </c>
      <c r="B421" s="1" t="s">
        <v>281</v>
      </c>
      <c r="C421" s="1" t="s">
        <v>49</v>
      </c>
      <c r="D421" s="1" t="s">
        <v>1158</v>
      </c>
      <c r="E421" s="1" t="s">
        <v>1159</v>
      </c>
      <c r="F421" s="1" t="s">
        <v>1160</v>
      </c>
    </row>
    <row r="422">
      <c r="A422" s="1" t="s">
        <v>1161</v>
      </c>
      <c r="B422" s="1" t="s">
        <v>424</v>
      </c>
      <c r="C422" s="1" t="s">
        <v>5</v>
      </c>
      <c r="F422" s="1" t="s">
        <v>1162</v>
      </c>
    </row>
    <row r="423">
      <c r="A423" s="1" t="s">
        <v>1163</v>
      </c>
      <c r="E423" s="1" t="s">
        <v>1164</v>
      </c>
    </row>
    <row r="424">
      <c r="A424" s="1" t="s">
        <v>1165</v>
      </c>
      <c r="B424" s="1" t="s">
        <v>432</v>
      </c>
      <c r="C424" s="1" t="s">
        <v>12</v>
      </c>
      <c r="D424" s="1" t="s">
        <v>1166</v>
      </c>
      <c r="F424" s="1" t="s">
        <v>1167</v>
      </c>
    </row>
    <row r="425">
      <c r="A425" s="1" t="s">
        <v>1168</v>
      </c>
      <c r="B425" s="1" t="s">
        <v>1168</v>
      </c>
      <c r="C425" s="1" t="s">
        <v>5</v>
      </c>
      <c r="D425" s="1" t="s">
        <v>1169</v>
      </c>
      <c r="E425" s="1" t="s">
        <v>1170</v>
      </c>
      <c r="F425" s="1" t="s">
        <v>1171</v>
      </c>
    </row>
    <row r="426">
      <c r="A426" s="1" t="s">
        <v>1172</v>
      </c>
      <c r="B426" s="1" t="s">
        <v>1173</v>
      </c>
      <c r="C426" s="1" t="s">
        <v>1174</v>
      </c>
      <c r="D426" s="1" t="s">
        <v>1175</v>
      </c>
    </row>
    <row r="427">
      <c r="A427" s="1" t="s">
        <v>1176</v>
      </c>
      <c r="B427" s="1" t="s">
        <v>359</v>
      </c>
      <c r="C427" s="1" t="s">
        <v>45</v>
      </c>
      <c r="D427" s="1" t="s">
        <v>1177</v>
      </c>
    </row>
    <row r="428">
      <c r="A428" s="1" t="s">
        <v>1178</v>
      </c>
      <c r="B428" s="1" t="s">
        <v>703</v>
      </c>
      <c r="C428" s="1" t="s">
        <v>37</v>
      </c>
      <c r="D428" s="1" t="s">
        <v>1179</v>
      </c>
    </row>
    <row r="429">
      <c r="A429" s="1" t="s">
        <v>1180</v>
      </c>
      <c r="E429" s="1" t="s">
        <v>1181</v>
      </c>
    </row>
    <row r="430">
      <c r="A430" s="1" t="s">
        <v>1182</v>
      </c>
      <c r="D430" s="1" t="s">
        <v>1183</v>
      </c>
    </row>
    <row r="431">
      <c r="A431" s="1" t="s">
        <v>1184</v>
      </c>
      <c r="B431" s="1" t="s">
        <v>1184</v>
      </c>
      <c r="C431" s="1" t="s">
        <v>1185</v>
      </c>
      <c r="D431" s="1" t="s">
        <v>1186</v>
      </c>
      <c r="E431" s="1" t="s">
        <v>1187</v>
      </c>
      <c r="F431" s="1" t="s">
        <v>1188</v>
      </c>
    </row>
    <row r="432">
      <c r="A432" s="1" t="s">
        <v>1189</v>
      </c>
      <c r="B432" s="1" t="s">
        <v>1189</v>
      </c>
      <c r="E432" s="1" t="s">
        <v>1190</v>
      </c>
    </row>
    <row r="433">
      <c r="A433" s="1" t="s">
        <v>1191</v>
      </c>
      <c r="E433" s="1" t="s">
        <v>1192</v>
      </c>
    </row>
    <row r="434">
      <c r="A434" s="1" t="s">
        <v>1193</v>
      </c>
      <c r="E434" s="1" t="s">
        <v>1194</v>
      </c>
    </row>
    <row r="435">
      <c r="A435" s="1" t="s">
        <v>1195</v>
      </c>
      <c r="B435" s="1" t="s">
        <v>91</v>
      </c>
      <c r="C435" s="1" t="s">
        <v>31</v>
      </c>
      <c r="D435" s="1" t="s">
        <v>1196</v>
      </c>
    </row>
    <row r="436">
      <c r="A436" s="1" t="s">
        <v>1197</v>
      </c>
      <c r="B436" s="1" t="s">
        <v>91</v>
      </c>
      <c r="C436" s="1" t="s">
        <v>31</v>
      </c>
      <c r="D436" s="1">
        <v>370.0</v>
      </c>
    </row>
    <row r="437">
      <c r="A437" s="1" t="s">
        <v>1198</v>
      </c>
      <c r="B437" s="1" t="s">
        <v>91</v>
      </c>
      <c r="C437" s="1" t="s">
        <v>31</v>
      </c>
      <c r="D437" s="1" t="s">
        <v>1199</v>
      </c>
    </row>
    <row r="438">
      <c r="A438" s="1" t="s">
        <v>1200</v>
      </c>
      <c r="B438" s="1" t="s">
        <v>1201</v>
      </c>
      <c r="C438" s="1" t="s">
        <v>1014</v>
      </c>
      <c r="D438" s="1" t="s">
        <v>1202</v>
      </c>
    </row>
    <row r="439">
      <c r="A439" s="1" t="s">
        <v>1203</v>
      </c>
      <c r="B439" s="1" t="s">
        <v>1204</v>
      </c>
      <c r="C439" s="1" t="s">
        <v>1014</v>
      </c>
      <c r="D439" s="1" t="s">
        <v>1205</v>
      </c>
    </row>
    <row r="440">
      <c r="A440" s="1" t="s">
        <v>1206</v>
      </c>
      <c r="E440" s="1" t="s">
        <v>1207</v>
      </c>
    </row>
    <row r="441">
      <c r="A441" s="1" t="s">
        <v>1208</v>
      </c>
      <c r="B441" s="1" t="s">
        <v>100</v>
      </c>
      <c r="C441" s="1" t="s">
        <v>101</v>
      </c>
      <c r="D441" s="1" t="s">
        <v>1209</v>
      </c>
    </row>
    <row r="442">
      <c r="A442" s="1" t="s">
        <v>1210</v>
      </c>
      <c r="B442" s="1" t="s">
        <v>1211</v>
      </c>
      <c r="C442" s="1" t="s">
        <v>1212</v>
      </c>
      <c r="D442" s="1" t="s">
        <v>1213</v>
      </c>
    </row>
    <row r="443">
      <c r="A443" s="1" t="s">
        <v>1214</v>
      </c>
      <c r="F443" s="1" t="s">
        <v>1215</v>
      </c>
    </row>
    <row r="444">
      <c r="A444" s="1" t="s">
        <v>1216</v>
      </c>
      <c r="D444" s="1" t="s">
        <v>1217</v>
      </c>
    </row>
    <row r="445">
      <c r="A445" s="1" t="s">
        <v>359</v>
      </c>
      <c r="B445" s="1" t="s">
        <v>359</v>
      </c>
      <c r="C445" s="1" t="s">
        <v>45</v>
      </c>
      <c r="D445" s="1" t="s">
        <v>1218</v>
      </c>
      <c r="E445" s="1" t="s">
        <v>1219</v>
      </c>
      <c r="F445" s="1" t="s">
        <v>1220</v>
      </c>
    </row>
    <row r="446">
      <c r="A446" s="1" t="s">
        <v>1221</v>
      </c>
      <c r="E446" s="1" t="s">
        <v>1222</v>
      </c>
    </row>
    <row r="447">
      <c r="A447" s="1" t="s">
        <v>1223</v>
      </c>
      <c r="E447" s="1" t="s">
        <v>1224</v>
      </c>
    </row>
    <row r="448">
      <c r="A448" s="1" t="s">
        <v>1225</v>
      </c>
      <c r="B448" s="1" t="s">
        <v>359</v>
      </c>
      <c r="C448" s="1" t="s">
        <v>45</v>
      </c>
      <c r="D448" s="1" t="s">
        <v>1226</v>
      </c>
    </row>
    <row r="449">
      <c r="A449" s="1" t="s">
        <v>1227</v>
      </c>
      <c r="B449" s="1" t="s">
        <v>359</v>
      </c>
      <c r="C449" s="1" t="s">
        <v>45</v>
      </c>
      <c r="D449" s="1" t="s">
        <v>1228</v>
      </c>
    </row>
    <row r="450">
      <c r="A450" s="1" t="s">
        <v>1229</v>
      </c>
      <c r="B450" s="1" t="s">
        <v>359</v>
      </c>
      <c r="C450" s="1" t="s">
        <v>45</v>
      </c>
      <c r="D450" s="1" t="s">
        <v>1230</v>
      </c>
    </row>
    <row r="451">
      <c r="A451" s="1" t="s">
        <v>1231</v>
      </c>
      <c r="B451" s="1" t="s">
        <v>359</v>
      </c>
      <c r="C451" s="1" t="s">
        <v>45</v>
      </c>
      <c r="D451" s="1" t="s">
        <v>1232</v>
      </c>
    </row>
    <row r="452">
      <c r="A452" s="1" t="s">
        <v>1233</v>
      </c>
      <c r="B452" s="1" t="s">
        <v>1234</v>
      </c>
      <c r="C452" s="1" t="s">
        <v>65</v>
      </c>
      <c r="D452" s="1" t="s">
        <v>1235</v>
      </c>
    </row>
    <row r="453">
      <c r="A453" s="1" t="s">
        <v>1236</v>
      </c>
      <c r="B453" s="1" t="s">
        <v>1234</v>
      </c>
      <c r="C453" s="1" t="s">
        <v>65</v>
      </c>
      <c r="D453" s="1" t="s">
        <v>1237</v>
      </c>
    </row>
    <row r="454">
      <c r="A454" s="1" t="s">
        <v>1238</v>
      </c>
      <c r="B454" s="1" t="s">
        <v>1234</v>
      </c>
      <c r="C454" s="1" t="s">
        <v>65</v>
      </c>
      <c r="D454" s="1" t="s">
        <v>1239</v>
      </c>
    </row>
    <row r="455">
      <c r="A455" s="1" t="s">
        <v>1240</v>
      </c>
      <c r="B455" s="1" t="s">
        <v>1234</v>
      </c>
      <c r="C455" s="1" t="s">
        <v>65</v>
      </c>
      <c r="D455" s="1" t="s">
        <v>1241</v>
      </c>
    </row>
    <row r="456">
      <c r="A456" s="1" t="s">
        <v>1242</v>
      </c>
      <c r="B456" s="1" t="s">
        <v>1242</v>
      </c>
      <c r="C456" s="1" t="s">
        <v>260</v>
      </c>
      <c r="D456" s="1" t="s">
        <v>1243</v>
      </c>
      <c r="E456" s="1" t="s">
        <v>1244</v>
      </c>
      <c r="F456" s="1" t="s">
        <v>1245</v>
      </c>
    </row>
    <row r="457">
      <c r="A457" s="1" t="s">
        <v>1246</v>
      </c>
      <c r="E457" s="1" t="s">
        <v>1247</v>
      </c>
    </row>
    <row r="458">
      <c r="A458" s="1" t="s">
        <v>1248</v>
      </c>
      <c r="E458" s="1" t="s">
        <v>1249</v>
      </c>
    </row>
    <row r="459">
      <c r="A459" s="1" t="s">
        <v>1250</v>
      </c>
      <c r="B459" s="1" t="s">
        <v>1234</v>
      </c>
      <c r="C459" s="1" t="s">
        <v>65</v>
      </c>
      <c r="D459" s="1" t="s">
        <v>1251</v>
      </c>
    </row>
    <row r="460">
      <c r="A460" s="1" t="s">
        <v>1252</v>
      </c>
      <c r="B460" s="1" t="s">
        <v>119</v>
      </c>
      <c r="C460" s="1" t="s">
        <v>61</v>
      </c>
      <c r="D460" s="1" t="s">
        <v>1253</v>
      </c>
      <c r="E460" s="1" t="s">
        <v>1254</v>
      </c>
    </row>
    <row r="461">
      <c r="A461" s="1" t="s">
        <v>1255</v>
      </c>
      <c r="E461" s="1" t="s">
        <v>1256</v>
      </c>
    </row>
    <row r="462">
      <c r="A462" s="1" t="s">
        <v>1257</v>
      </c>
      <c r="E462" s="1" t="s">
        <v>1258</v>
      </c>
    </row>
    <row r="463">
      <c r="A463" s="1" t="s">
        <v>192</v>
      </c>
      <c r="B463" s="1" t="s">
        <v>192</v>
      </c>
      <c r="C463" s="1" t="s">
        <v>79</v>
      </c>
      <c r="D463" s="1" t="s">
        <v>1259</v>
      </c>
      <c r="E463" s="1" t="s">
        <v>1260</v>
      </c>
      <c r="F463" s="1" t="s">
        <v>1261</v>
      </c>
    </row>
    <row r="464">
      <c r="A464" s="1" t="s">
        <v>1262</v>
      </c>
      <c r="B464" s="1" t="s">
        <v>1263</v>
      </c>
      <c r="C464" s="1" t="s">
        <v>79</v>
      </c>
      <c r="D464" s="1" t="s">
        <v>1264</v>
      </c>
    </row>
    <row r="465">
      <c r="A465" s="1" t="s">
        <v>1265</v>
      </c>
      <c r="E465" s="1" t="s">
        <v>1266</v>
      </c>
    </row>
    <row r="466">
      <c r="A466" s="1" t="s">
        <v>1267</v>
      </c>
      <c r="E466" s="1" t="s">
        <v>1268</v>
      </c>
    </row>
    <row r="467">
      <c r="A467" s="1" t="s">
        <v>1269</v>
      </c>
      <c r="B467" s="1" t="s">
        <v>1026</v>
      </c>
      <c r="C467" s="1" t="s">
        <v>7</v>
      </c>
      <c r="E467" s="1" t="s">
        <v>1270</v>
      </c>
    </row>
    <row r="468">
      <c r="A468" s="1" t="s">
        <v>1271</v>
      </c>
      <c r="B468" s="1" t="s">
        <v>1234</v>
      </c>
      <c r="C468" s="1" t="s">
        <v>65</v>
      </c>
      <c r="D468" s="1" t="s">
        <v>1272</v>
      </c>
    </row>
    <row r="469">
      <c r="A469" s="1" t="s">
        <v>1273</v>
      </c>
      <c r="B469" s="1" t="s">
        <v>1234</v>
      </c>
      <c r="C469" s="1" t="s">
        <v>65</v>
      </c>
      <c r="D469" s="1" t="s">
        <v>1274</v>
      </c>
    </row>
    <row r="470">
      <c r="A470" s="1" t="s">
        <v>1234</v>
      </c>
      <c r="B470" s="1" t="s">
        <v>1234</v>
      </c>
      <c r="C470" s="1" t="s">
        <v>65</v>
      </c>
      <c r="E470" s="1" t="s">
        <v>1275</v>
      </c>
      <c r="F470" s="1" t="s">
        <v>1276</v>
      </c>
    </row>
    <row r="471">
      <c r="A471" s="1" t="s">
        <v>1277</v>
      </c>
      <c r="B471" s="1" t="s">
        <v>785</v>
      </c>
      <c r="C471" s="1" t="s">
        <v>61</v>
      </c>
      <c r="D471" s="1" t="s">
        <v>1278</v>
      </c>
      <c r="F471" s="1" t="s">
        <v>1279</v>
      </c>
    </row>
    <row r="472">
      <c r="A472" s="1" t="s">
        <v>1280</v>
      </c>
      <c r="B472" s="1" t="s">
        <v>1281</v>
      </c>
      <c r="C472" s="1" t="s">
        <v>503</v>
      </c>
    </row>
    <row r="473">
      <c r="A473" s="1" t="s">
        <v>1282</v>
      </c>
      <c r="B473" s="1" t="s">
        <v>785</v>
      </c>
      <c r="C473" s="1" t="s">
        <v>61</v>
      </c>
      <c r="E473" s="1" t="s">
        <v>1283</v>
      </c>
      <c r="F473" s="1" t="s">
        <v>1284</v>
      </c>
    </row>
    <row r="474">
      <c r="A474" s="1" t="s">
        <v>1285</v>
      </c>
      <c r="B474" s="1" t="s">
        <v>1286</v>
      </c>
      <c r="C474" s="1" t="s">
        <v>49</v>
      </c>
      <c r="D474" s="1" t="s">
        <v>1287</v>
      </c>
    </row>
    <row r="475">
      <c r="A475" s="1" t="s">
        <v>1288</v>
      </c>
      <c r="D475" s="1" t="s">
        <v>1289</v>
      </c>
    </row>
    <row r="476">
      <c r="A476" s="1" t="s">
        <v>1290</v>
      </c>
      <c r="D476" s="1" t="s">
        <v>1291</v>
      </c>
    </row>
    <row r="477">
      <c r="A477" s="1" t="s">
        <v>1292</v>
      </c>
      <c r="B477" s="1" t="s">
        <v>106</v>
      </c>
      <c r="C477" s="1" t="s">
        <v>108</v>
      </c>
      <c r="D477" s="14">
        <v>0.625</v>
      </c>
    </row>
    <row r="478">
      <c r="A478" s="1" t="s">
        <v>1293</v>
      </c>
      <c r="E478" s="1" t="s">
        <v>1294</v>
      </c>
    </row>
    <row r="479">
      <c r="A479" s="1" t="s">
        <v>1295</v>
      </c>
      <c r="B479" s="1" t="s">
        <v>1295</v>
      </c>
      <c r="C479" s="1" t="s">
        <v>49</v>
      </c>
      <c r="D479" s="1" t="s">
        <v>1296</v>
      </c>
      <c r="E479" s="1" t="s">
        <v>1297</v>
      </c>
      <c r="F479" s="1" t="s">
        <v>1298</v>
      </c>
    </row>
    <row r="480">
      <c r="A480" s="1" t="s">
        <v>1299</v>
      </c>
      <c r="E480" s="1" t="s">
        <v>1300</v>
      </c>
    </row>
    <row r="481">
      <c r="A481" s="1" t="s">
        <v>1301</v>
      </c>
      <c r="E481" s="1" t="s">
        <v>1302</v>
      </c>
    </row>
    <row r="482">
      <c r="A482" s="1" t="s">
        <v>1303</v>
      </c>
      <c r="B482" s="1" t="s">
        <v>91</v>
      </c>
      <c r="C482" s="1" t="s">
        <v>31</v>
      </c>
      <c r="D482" s="1" t="s">
        <v>1304</v>
      </c>
    </row>
    <row r="483">
      <c r="A483" s="1" t="s">
        <v>1305</v>
      </c>
      <c r="E483" s="1" t="s">
        <v>1306</v>
      </c>
    </row>
    <row r="484">
      <c r="A484" s="1" t="s">
        <v>1307</v>
      </c>
      <c r="E484" s="1" t="s">
        <v>1308</v>
      </c>
    </row>
    <row r="485">
      <c r="A485" s="1" t="s">
        <v>1309</v>
      </c>
      <c r="B485" s="1" t="s">
        <v>30</v>
      </c>
      <c r="C485" s="1" t="s">
        <v>28</v>
      </c>
      <c r="F485" s="1" t="s">
        <v>1310</v>
      </c>
    </row>
    <row r="486">
      <c r="A486" s="1" t="s">
        <v>1311</v>
      </c>
      <c r="B486" s="1" t="s">
        <v>949</v>
      </c>
      <c r="C486" s="1" t="s">
        <v>65</v>
      </c>
      <c r="D486" s="1" t="s">
        <v>1312</v>
      </c>
    </row>
    <row r="487">
      <c r="A487" s="1" t="s">
        <v>19</v>
      </c>
      <c r="B487" s="1" t="s">
        <v>19</v>
      </c>
      <c r="C487" s="1" t="s">
        <v>18</v>
      </c>
      <c r="D487" s="1" t="s">
        <v>1313</v>
      </c>
      <c r="E487" s="1" t="s">
        <v>1314</v>
      </c>
      <c r="F487" s="1" t="s">
        <v>1315</v>
      </c>
    </row>
    <row r="488">
      <c r="A488" s="1" t="s">
        <v>1316</v>
      </c>
      <c r="E488" s="1" t="s">
        <v>1317</v>
      </c>
    </row>
    <row r="489">
      <c r="A489" s="1" t="s">
        <v>1318</v>
      </c>
      <c r="E489" s="1" t="s">
        <v>1319</v>
      </c>
    </row>
    <row r="490">
      <c r="A490" s="1" t="s">
        <v>1320</v>
      </c>
      <c r="B490" s="1" t="s">
        <v>19</v>
      </c>
      <c r="C490" s="1" t="s">
        <v>18</v>
      </c>
      <c r="D490" s="1" t="s">
        <v>1321</v>
      </c>
    </row>
    <row r="491">
      <c r="A491" s="1" t="s">
        <v>1322</v>
      </c>
      <c r="B491" s="1" t="s">
        <v>1323</v>
      </c>
      <c r="C491" s="1" t="s">
        <v>1324</v>
      </c>
      <c r="D491" s="1" t="s">
        <v>1325</v>
      </c>
    </row>
    <row r="492">
      <c r="A492" s="1" t="s">
        <v>1326</v>
      </c>
      <c r="B492" s="1" t="s">
        <v>1323</v>
      </c>
      <c r="C492" s="1" t="s">
        <v>1324</v>
      </c>
      <c r="D492" s="1" t="s">
        <v>1327</v>
      </c>
    </row>
    <row r="493">
      <c r="A493" s="1" t="s">
        <v>1328</v>
      </c>
      <c r="B493" s="1" t="s">
        <v>1329</v>
      </c>
      <c r="C493" s="1" t="s">
        <v>18</v>
      </c>
      <c r="E493" s="1" t="s">
        <v>1330</v>
      </c>
    </row>
    <row r="494">
      <c r="A494" s="1" t="s">
        <v>1331</v>
      </c>
      <c r="B494" s="1" t="s">
        <v>19</v>
      </c>
      <c r="C494" s="1" t="s">
        <v>18</v>
      </c>
      <c r="D494" s="1" t="s">
        <v>1332</v>
      </c>
    </row>
    <row r="495">
      <c r="A495" s="1" t="s">
        <v>1333</v>
      </c>
      <c r="B495" s="1" t="s">
        <v>19</v>
      </c>
      <c r="C495" s="1" t="s">
        <v>18</v>
      </c>
      <c r="D495" s="1" t="s">
        <v>1334</v>
      </c>
    </row>
    <row r="496">
      <c r="A496" s="1" t="s">
        <v>1335</v>
      </c>
      <c r="B496" s="1" t="s">
        <v>19</v>
      </c>
      <c r="C496" s="1" t="s">
        <v>18</v>
      </c>
      <c r="D496" s="1" t="s">
        <v>1336</v>
      </c>
    </row>
    <row r="497">
      <c r="A497" s="1" t="s">
        <v>1337</v>
      </c>
      <c r="B497" s="1" t="s">
        <v>19</v>
      </c>
      <c r="C497" s="1" t="s">
        <v>18</v>
      </c>
      <c r="D497" s="1" t="s">
        <v>1338</v>
      </c>
    </row>
    <row r="498">
      <c r="A498" s="1" t="s">
        <v>1339</v>
      </c>
      <c r="B498" s="1" t="s">
        <v>1340</v>
      </c>
      <c r="C498" s="1" t="s">
        <v>1341</v>
      </c>
      <c r="E498" s="1" t="s">
        <v>1342</v>
      </c>
    </row>
    <row r="499">
      <c r="A499" s="1" t="s">
        <v>1343</v>
      </c>
      <c r="D499" s="1" t="s">
        <v>1344</v>
      </c>
    </row>
    <row r="500">
      <c r="A500" s="1" t="s">
        <v>1345</v>
      </c>
      <c r="D500" s="1" t="s">
        <v>1346</v>
      </c>
    </row>
    <row r="501">
      <c r="A501" s="1" t="s">
        <v>1347</v>
      </c>
      <c r="B501" s="1" t="s">
        <v>30</v>
      </c>
      <c r="C501" s="1" t="s">
        <v>28</v>
      </c>
      <c r="E501" s="1" t="s">
        <v>1348</v>
      </c>
      <c r="F501" s="1" t="s">
        <v>1349</v>
      </c>
    </row>
    <row r="502">
      <c r="A502" s="1" t="s">
        <v>1350</v>
      </c>
      <c r="B502" s="1" t="s">
        <v>511</v>
      </c>
      <c r="C502" s="1" t="s">
        <v>79</v>
      </c>
      <c r="E502" s="1" t="s">
        <v>1351</v>
      </c>
    </row>
    <row r="503">
      <c r="A503" s="1" t="s">
        <v>1352</v>
      </c>
      <c r="B503" s="1" t="s">
        <v>1352</v>
      </c>
      <c r="C503" s="1" t="s">
        <v>1353</v>
      </c>
      <c r="D503" s="1" t="s">
        <v>1354</v>
      </c>
    </row>
    <row r="504">
      <c r="A504" s="1" t="s">
        <v>1355</v>
      </c>
      <c r="D504" s="1" t="s">
        <v>1356</v>
      </c>
    </row>
    <row r="505">
      <c r="A505" s="1" t="s">
        <v>1357</v>
      </c>
      <c r="D505" s="1" t="s">
        <v>1358</v>
      </c>
    </row>
    <row r="506">
      <c r="A506" s="1" t="s">
        <v>1359</v>
      </c>
      <c r="D506" s="1">
        <v>0.0</v>
      </c>
    </row>
    <row r="507">
      <c r="A507" s="1" t="s">
        <v>1360</v>
      </c>
      <c r="D507" s="1" t="s">
        <v>1361</v>
      </c>
      <c r="F507" s="1" t="s">
        <v>1362</v>
      </c>
    </row>
    <row r="508">
      <c r="A508" s="1" t="s">
        <v>1363</v>
      </c>
      <c r="B508" s="1" t="s">
        <v>1363</v>
      </c>
      <c r="C508" s="1" t="s">
        <v>1364</v>
      </c>
      <c r="D508" s="1" t="s">
        <v>1365</v>
      </c>
      <c r="E508" s="1" t="s">
        <v>1366</v>
      </c>
      <c r="F508" s="1" t="s">
        <v>1367</v>
      </c>
    </row>
    <row r="509">
      <c r="A509" s="1" t="s">
        <v>1368</v>
      </c>
      <c r="E509" s="1" t="s">
        <v>1369</v>
      </c>
    </row>
    <row r="510">
      <c r="A510" s="1" t="s">
        <v>1370</v>
      </c>
      <c r="E510" s="1" t="s">
        <v>1371</v>
      </c>
    </row>
    <row r="511">
      <c r="A511" s="1" t="s">
        <v>1372</v>
      </c>
      <c r="B511" s="1" t="s">
        <v>1363</v>
      </c>
      <c r="C511" s="1" t="s">
        <v>1364</v>
      </c>
      <c r="D511" s="1" t="s">
        <v>1373</v>
      </c>
    </row>
    <row r="512">
      <c r="A512" s="1" t="s">
        <v>1374</v>
      </c>
      <c r="B512" s="1" t="s">
        <v>281</v>
      </c>
      <c r="C512" s="1" t="s">
        <v>49</v>
      </c>
      <c r="D512" s="1" t="s">
        <v>1375</v>
      </c>
    </row>
    <row r="513">
      <c r="A513" s="1" t="s">
        <v>1376</v>
      </c>
      <c r="B513" s="1" t="s">
        <v>36</v>
      </c>
      <c r="C513" s="1" t="s">
        <v>37</v>
      </c>
      <c r="E513" s="1" t="s">
        <v>1377</v>
      </c>
    </row>
    <row r="514">
      <c r="A514" s="1" t="s">
        <v>1378</v>
      </c>
      <c r="B514" s="1" t="s">
        <v>359</v>
      </c>
      <c r="C514" s="1" t="s">
        <v>45</v>
      </c>
      <c r="D514" s="1">
        <v>349.0</v>
      </c>
    </row>
    <row r="515">
      <c r="A515" s="1" t="s">
        <v>1379</v>
      </c>
      <c r="B515" s="1" t="s">
        <v>359</v>
      </c>
      <c r="C515" s="1" t="s">
        <v>45</v>
      </c>
      <c r="D515" s="1" t="s">
        <v>1380</v>
      </c>
    </row>
    <row r="516">
      <c r="A516" s="1" t="s">
        <v>1381</v>
      </c>
      <c r="B516" s="1" t="s">
        <v>36</v>
      </c>
      <c r="C516" s="1" t="s">
        <v>37</v>
      </c>
      <c r="E516" s="1" t="s">
        <v>1382</v>
      </c>
    </row>
    <row r="517">
      <c r="A517" s="1" t="s">
        <v>1383</v>
      </c>
      <c r="B517" s="1" t="s">
        <v>36</v>
      </c>
      <c r="C517" s="1" t="s">
        <v>37</v>
      </c>
      <c r="E517" s="1" t="s">
        <v>1384</v>
      </c>
    </row>
    <row r="518">
      <c r="A518" s="1" t="s">
        <v>1385</v>
      </c>
      <c r="B518" s="1" t="s">
        <v>36</v>
      </c>
      <c r="C518" s="1" t="s">
        <v>37</v>
      </c>
      <c r="E518" s="1" t="s">
        <v>1386</v>
      </c>
    </row>
    <row r="519">
      <c r="A519" s="1" t="s">
        <v>1387</v>
      </c>
      <c r="B519" s="1" t="s">
        <v>36</v>
      </c>
      <c r="C519" s="1" t="s">
        <v>37</v>
      </c>
      <c r="E519" s="1" t="s">
        <v>1388</v>
      </c>
    </row>
    <row r="520">
      <c r="A520" s="1" t="s">
        <v>1389</v>
      </c>
      <c r="B520" s="1" t="s">
        <v>36</v>
      </c>
      <c r="C520" s="1" t="s">
        <v>37</v>
      </c>
      <c r="E520" s="1" t="s">
        <v>1390</v>
      </c>
    </row>
    <row r="521">
      <c r="A521" s="1" t="s">
        <v>1391</v>
      </c>
      <c r="B521" s="1" t="s">
        <v>36</v>
      </c>
      <c r="C521" s="1" t="s">
        <v>37</v>
      </c>
      <c r="E521" s="1" t="s">
        <v>1392</v>
      </c>
    </row>
    <row r="522">
      <c r="A522" s="1" t="s">
        <v>1393</v>
      </c>
      <c r="B522" s="1" t="s">
        <v>36</v>
      </c>
      <c r="C522" s="1" t="s">
        <v>37</v>
      </c>
      <c r="E522" s="1" t="s">
        <v>1394</v>
      </c>
    </row>
    <row r="523">
      <c r="A523" s="1" t="s">
        <v>1395</v>
      </c>
      <c r="B523" s="1" t="s">
        <v>36</v>
      </c>
      <c r="C523" s="1" t="s">
        <v>37</v>
      </c>
      <c r="E523" s="1" t="s">
        <v>1396</v>
      </c>
    </row>
    <row r="524">
      <c r="A524" s="1" t="s">
        <v>1397</v>
      </c>
      <c r="B524" s="1" t="s">
        <v>91</v>
      </c>
      <c r="C524" s="1" t="s">
        <v>31</v>
      </c>
      <c r="E524" s="1" t="s">
        <v>1398</v>
      </c>
    </row>
    <row r="525">
      <c r="A525" s="1" t="s">
        <v>1399</v>
      </c>
      <c r="B525" s="1" t="s">
        <v>36</v>
      </c>
      <c r="C525" s="1" t="s">
        <v>37</v>
      </c>
      <c r="E525" s="1" t="s">
        <v>1400</v>
      </c>
    </row>
    <row r="526">
      <c r="A526" s="1" t="s">
        <v>1401</v>
      </c>
      <c r="B526" s="1" t="s">
        <v>259</v>
      </c>
      <c r="C526" s="1" t="s">
        <v>260</v>
      </c>
      <c r="D526" s="1" t="s">
        <v>1402</v>
      </c>
    </row>
    <row r="527">
      <c r="A527" s="1" t="s">
        <v>1403</v>
      </c>
      <c r="B527" s="1" t="s">
        <v>359</v>
      </c>
      <c r="C527" s="1" t="s">
        <v>45</v>
      </c>
      <c r="D527" s="1" t="s">
        <v>1404</v>
      </c>
    </row>
    <row r="528">
      <c r="A528" s="1" t="s">
        <v>1405</v>
      </c>
      <c r="B528" s="1" t="s">
        <v>1406</v>
      </c>
      <c r="C528" s="1" t="s">
        <v>1407</v>
      </c>
      <c r="D528" s="1" t="s">
        <v>1408</v>
      </c>
    </row>
    <row r="529">
      <c r="A529" s="1" t="s">
        <v>1409</v>
      </c>
      <c r="B529" s="1" t="s">
        <v>359</v>
      </c>
      <c r="C529" s="1" t="s">
        <v>45</v>
      </c>
      <c r="D529" s="1" t="s">
        <v>1410</v>
      </c>
      <c r="F529" s="1" t="s">
        <v>1411</v>
      </c>
    </row>
    <row r="530">
      <c r="A530" s="1" t="s">
        <v>1412</v>
      </c>
      <c r="B530" s="1" t="s">
        <v>281</v>
      </c>
      <c r="C530" s="1" t="s">
        <v>49</v>
      </c>
      <c r="D530" s="1" t="s">
        <v>1413</v>
      </c>
    </row>
    <row r="531">
      <c r="A531" s="1" t="s">
        <v>1414</v>
      </c>
      <c r="B531" s="1" t="s">
        <v>394</v>
      </c>
      <c r="C531" s="1" t="s">
        <v>65</v>
      </c>
      <c r="D531" s="1" t="s">
        <v>1415</v>
      </c>
      <c r="F531" s="1" t="s">
        <v>1416</v>
      </c>
    </row>
    <row r="532">
      <c r="A532" s="1" t="s">
        <v>1417</v>
      </c>
      <c r="E532" s="1" t="s">
        <v>1418</v>
      </c>
    </row>
    <row r="533">
      <c r="A533" s="1" t="s">
        <v>1419</v>
      </c>
      <c r="E533" s="1" t="s">
        <v>1420</v>
      </c>
    </row>
    <row r="534">
      <c r="A534" s="1" t="s">
        <v>1421</v>
      </c>
      <c r="B534" s="1" t="s">
        <v>471</v>
      </c>
      <c r="C534" s="1" t="s">
        <v>56</v>
      </c>
      <c r="D534" s="1" t="s">
        <v>1422</v>
      </c>
    </row>
    <row r="535">
      <c r="A535" s="1" t="s">
        <v>1423</v>
      </c>
      <c r="E535" s="1" t="s">
        <v>1424</v>
      </c>
    </row>
    <row r="536">
      <c r="A536" s="1" t="s">
        <v>1425</v>
      </c>
      <c r="B536" s="1" t="s">
        <v>359</v>
      </c>
      <c r="C536" s="1" t="s">
        <v>45</v>
      </c>
      <c r="D536" s="1" t="s">
        <v>1426</v>
      </c>
    </row>
    <row r="537">
      <c r="A537" s="1" t="s">
        <v>1427</v>
      </c>
      <c r="B537" s="1" t="s">
        <v>359</v>
      </c>
      <c r="C537" s="1" t="s">
        <v>45</v>
      </c>
      <c r="D537" s="1" t="s">
        <v>1428</v>
      </c>
    </row>
    <row r="538">
      <c r="A538" s="1" t="s">
        <v>1429</v>
      </c>
      <c r="B538" s="1" t="s">
        <v>359</v>
      </c>
      <c r="C538" s="1" t="s">
        <v>45</v>
      </c>
      <c r="D538" s="1" t="s">
        <v>1430</v>
      </c>
    </row>
    <row r="539">
      <c r="A539" s="1" t="s">
        <v>1431</v>
      </c>
      <c r="B539" s="1" t="s">
        <v>359</v>
      </c>
      <c r="C539" s="1" t="s">
        <v>45</v>
      </c>
      <c r="D539" s="1" t="s">
        <v>1432</v>
      </c>
    </row>
    <row r="540">
      <c r="A540" s="1" t="s">
        <v>1433</v>
      </c>
      <c r="B540" s="1" t="s">
        <v>1433</v>
      </c>
      <c r="C540" s="1" t="s">
        <v>12</v>
      </c>
      <c r="D540" s="1" t="s">
        <v>1434</v>
      </c>
      <c r="E540" s="1" t="s">
        <v>1435</v>
      </c>
      <c r="F540" s="1" t="s">
        <v>1436</v>
      </c>
    </row>
    <row r="541">
      <c r="A541" s="1" t="s">
        <v>1437</v>
      </c>
      <c r="E541" s="1" t="s">
        <v>1438</v>
      </c>
    </row>
    <row r="542">
      <c r="A542" s="1" t="s">
        <v>1439</v>
      </c>
      <c r="E542" s="1" t="s">
        <v>1440</v>
      </c>
    </row>
    <row r="543">
      <c r="A543" s="1" t="s">
        <v>1441</v>
      </c>
      <c r="B543" s="1" t="s">
        <v>281</v>
      </c>
      <c r="C543" s="1" t="s">
        <v>49</v>
      </c>
      <c r="D543" s="1" t="s">
        <v>1442</v>
      </c>
    </row>
    <row r="544">
      <c r="A544" s="1" t="s">
        <v>1443</v>
      </c>
      <c r="E544" s="1" t="s">
        <v>1444</v>
      </c>
    </row>
    <row r="545">
      <c r="A545" s="1" t="s">
        <v>1445</v>
      </c>
      <c r="E545" s="1" t="s">
        <v>1446</v>
      </c>
    </row>
    <row r="546">
      <c r="A546" s="1" t="s">
        <v>1447</v>
      </c>
      <c r="E546" s="1" t="s">
        <v>1448</v>
      </c>
    </row>
    <row r="547">
      <c r="A547" s="1" t="s">
        <v>1449</v>
      </c>
      <c r="E547" s="1" t="s">
        <v>1450</v>
      </c>
    </row>
    <row r="548">
      <c r="A548" s="1" t="s">
        <v>1451</v>
      </c>
      <c r="B548" s="1" t="s">
        <v>281</v>
      </c>
      <c r="C548" s="1" t="s">
        <v>49</v>
      </c>
      <c r="D548" s="1" t="s">
        <v>1452</v>
      </c>
    </row>
    <row r="549">
      <c r="A549" s="1" t="s">
        <v>1453</v>
      </c>
      <c r="B549" s="1" t="s">
        <v>1453</v>
      </c>
      <c r="C549" s="1" t="s">
        <v>74</v>
      </c>
      <c r="D549" s="1" t="s">
        <v>1454</v>
      </c>
      <c r="F549" s="1" t="s">
        <v>1455</v>
      </c>
    </row>
    <row r="550">
      <c r="A550" s="1" t="s">
        <v>1456</v>
      </c>
      <c r="B550" s="1" t="s">
        <v>1456</v>
      </c>
      <c r="C550" s="1" t="s">
        <v>65</v>
      </c>
      <c r="D550" s="1" t="s">
        <v>1457</v>
      </c>
      <c r="E550" s="1" t="s">
        <v>1458</v>
      </c>
      <c r="F550" s="1" t="s">
        <v>1459</v>
      </c>
    </row>
    <row r="551">
      <c r="A551" s="1" t="s">
        <v>1460</v>
      </c>
      <c r="E551" s="1" t="s">
        <v>1461</v>
      </c>
    </row>
    <row r="552">
      <c r="A552" s="1" t="s">
        <v>1462</v>
      </c>
      <c r="E552" s="1" t="s">
        <v>1463</v>
      </c>
    </row>
    <row r="553">
      <c r="A553" s="1" t="s">
        <v>1464</v>
      </c>
      <c r="B553" s="1" t="s">
        <v>1465</v>
      </c>
      <c r="C553" s="1" t="s">
        <v>1466</v>
      </c>
      <c r="E553" s="1" t="s">
        <v>1467</v>
      </c>
    </row>
    <row r="554">
      <c r="A554" s="1" t="s">
        <v>625</v>
      </c>
      <c r="B554" s="1" t="s">
        <v>625</v>
      </c>
      <c r="C554" s="1" t="s">
        <v>7</v>
      </c>
      <c r="D554" s="1" t="s">
        <v>1468</v>
      </c>
      <c r="E554" s="1" t="s">
        <v>1469</v>
      </c>
      <c r="F554" s="1" t="s">
        <v>1470</v>
      </c>
    </row>
    <row r="555">
      <c r="A555" s="1" t="s">
        <v>1471</v>
      </c>
      <c r="E555" s="1" t="s">
        <v>1472</v>
      </c>
    </row>
    <row r="556">
      <c r="A556" s="1" t="s">
        <v>1473</v>
      </c>
      <c r="E556" s="1" t="s">
        <v>1474</v>
      </c>
    </row>
    <row r="557">
      <c r="A557" s="1" t="s">
        <v>1475</v>
      </c>
      <c r="B557" s="1" t="s">
        <v>972</v>
      </c>
      <c r="C557" s="1" t="s">
        <v>74</v>
      </c>
      <c r="D557" s="1" t="s">
        <v>1476</v>
      </c>
    </row>
    <row r="558">
      <c r="A558" s="1" t="s">
        <v>1477</v>
      </c>
      <c r="B558" s="1" t="s">
        <v>1478</v>
      </c>
      <c r="C558" s="1" t="s">
        <v>5</v>
      </c>
      <c r="F558" s="1" t="s">
        <v>1479</v>
      </c>
    </row>
    <row r="559">
      <c r="A559" s="1" t="s">
        <v>1480</v>
      </c>
      <c r="B559" s="1" t="s">
        <v>91</v>
      </c>
      <c r="C559" s="1" t="s">
        <v>31</v>
      </c>
      <c r="D559" s="1" t="s">
        <v>1481</v>
      </c>
    </row>
    <row r="560">
      <c r="A560" s="1" t="s">
        <v>1482</v>
      </c>
      <c r="B560" s="1" t="s">
        <v>1456</v>
      </c>
      <c r="C560" s="1" t="s">
        <v>65</v>
      </c>
      <c r="D560" s="1" t="s">
        <v>1483</v>
      </c>
    </row>
    <row r="561">
      <c r="A561" s="1" t="s">
        <v>1484</v>
      </c>
      <c r="B561" s="1" t="s">
        <v>91</v>
      </c>
      <c r="C561" s="1" t="s">
        <v>31</v>
      </c>
      <c r="D561" s="1" t="s">
        <v>1485</v>
      </c>
    </row>
    <row r="562">
      <c r="A562" s="1" t="s">
        <v>1486</v>
      </c>
      <c r="B562" s="1" t="s">
        <v>91</v>
      </c>
      <c r="C562" s="1" t="s">
        <v>31</v>
      </c>
      <c r="D562" s="1" t="s">
        <v>1487</v>
      </c>
    </row>
    <row r="563">
      <c r="A563" s="1" t="s">
        <v>1488</v>
      </c>
      <c r="B563" s="1" t="s">
        <v>1489</v>
      </c>
      <c r="C563" s="1" t="s">
        <v>7</v>
      </c>
      <c r="F563" s="1" t="s">
        <v>1490</v>
      </c>
    </row>
    <row r="564">
      <c r="A564" s="1" t="s">
        <v>1491</v>
      </c>
      <c r="B564" s="1" t="s">
        <v>1492</v>
      </c>
      <c r="C564" s="1" t="s">
        <v>49</v>
      </c>
      <c r="D564" s="1" t="s">
        <v>1493</v>
      </c>
      <c r="F564" s="1" t="s">
        <v>1494</v>
      </c>
    </row>
    <row r="565">
      <c r="A565" s="1" t="s">
        <v>1495</v>
      </c>
      <c r="B565" s="1" t="s">
        <v>91</v>
      </c>
      <c r="C565" s="1" t="s">
        <v>31</v>
      </c>
      <c r="D565" s="1" t="s">
        <v>1496</v>
      </c>
    </row>
    <row r="566">
      <c r="A566" s="1" t="s">
        <v>1497</v>
      </c>
      <c r="B566" s="1" t="s">
        <v>36</v>
      </c>
      <c r="C566" s="1" t="s">
        <v>37</v>
      </c>
      <c r="D566" s="1" t="s">
        <v>1498</v>
      </c>
    </row>
    <row r="567">
      <c r="A567" s="1" t="s">
        <v>1499</v>
      </c>
      <c r="B567" s="1" t="s">
        <v>205</v>
      </c>
      <c r="C567" s="1" t="s">
        <v>79</v>
      </c>
      <c r="D567" s="1" t="s">
        <v>1500</v>
      </c>
    </row>
    <row r="568">
      <c r="A568" s="1" t="s">
        <v>1501</v>
      </c>
      <c r="B568" s="1" t="s">
        <v>359</v>
      </c>
      <c r="C568" s="1" t="s">
        <v>45</v>
      </c>
      <c r="D568" s="1" t="s">
        <v>1502</v>
      </c>
    </row>
    <row r="569">
      <c r="A569" s="1" t="s">
        <v>1503</v>
      </c>
      <c r="D569" s="1" t="s">
        <v>1504</v>
      </c>
      <c r="F569" s="1" t="s">
        <v>1505</v>
      </c>
    </row>
    <row r="570">
      <c r="A570" s="1" t="s">
        <v>1506</v>
      </c>
      <c r="B570" s="1" t="s">
        <v>36</v>
      </c>
      <c r="C570" s="1" t="s">
        <v>37</v>
      </c>
      <c r="E570" s="1" t="s">
        <v>1507</v>
      </c>
    </row>
    <row r="571">
      <c r="A571" s="1" t="s">
        <v>1508</v>
      </c>
      <c r="B571" s="1" t="s">
        <v>1508</v>
      </c>
      <c r="C571" s="1" t="s">
        <v>1185</v>
      </c>
      <c r="D571" s="1" t="s">
        <v>1509</v>
      </c>
      <c r="F571" s="1" t="s">
        <v>1510</v>
      </c>
    </row>
    <row r="572">
      <c r="A572" s="1" t="s">
        <v>284</v>
      </c>
      <c r="B572" s="1" t="s">
        <v>284</v>
      </c>
      <c r="C572" s="1" t="s">
        <v>74</v>
      </c>
      <c r="D572" s="1" t="s">
        <v>1511</v>
      </c>
      <c r="E572" s="1" t="s">
        <v>1512</v>
      </c>
      <c r="F572" s="1" t="s">
        <v>1513</v>
      </c>
    </row>
    <row r="573">
      <c r="A573" s="1" t="s">
        <v>1514</v>
      </c>
      <c r="E573" s="1" t="s">
        <v>1515</v>
      </c>
    </row>
    <row r="574">
      <c r="A574" s="1" t="s">
        <v>1516</v>
      </c>
      <c r="E574" s="1" t="s">
        <v>1517</v>
      </c>
    </row>
    <row r="575">
      <c r="A575" s="1" t="s">
        <v>1518</v>
      </c>
      <c r="B575" s="1" t="s">
        <v>1519</v>
      </c>
      <c r="C575" s="1" t="s">
        <v>1520</v>
      </c>
      <c r="D575" s="1" t="s">
        <v>271</v>
      </c>
    </row>
    <row r="576">
      <c r="A576" s="1" t="s">
        <v>1521</v>
      </c>
      <c r="B576" s="1" t="s">
        <v>428</v>
      </c>
      <c r="C576" s="1" t="s">
        <v>26</v>
      </c>
      <c r="D576" s="1" t="s">
        <v>1522</v>
      </c>
    </row>
    <row r="577">
      <c r="A577" s="1" t="s">
        <v>1523</v>
      </c>
      <c r="B577" s="1" t="s">
        <v>1524</v>
      </c>
      <c r="C577" s="1" t="s">
        <v>1525</v>
      </c>
      <c r="D577" s="1" t="s">
        <v>1526</v>
      </c>
    </row>
    <row r="578">
      <c r="A578" s="1" t="s">
        <v>1527</v>
      </c>
      <c r="E578" s="1" t="s">
        <v>1528</v>
      </c>
    </row>
    <row r="579">
      <c r="A579" s="1" t="s">
        <v>1529</v>
      </c>
      <c r="E579" s="1" t="s">
        <v>1530</v>
      </c>
    </row>
    <row r="580">
      <c r="A580" s="1" t="s">
        <v>1531</v>
      </c>
      <c r="B580" s="1" t="s">
        <v>394</v>
      </c>
      <c r="C580" s="1" t="s">
        <v>65</v>
      </c>
      <c r="D580" s="1" t="s">
        <v>1532</v>
      </c>
    </row>
    <row r="581">
      <c r="A581" s="1" t="s">
        <v>1533</v>
      </c>
      <c r="D581" s="1" t="s">
        <v>1534</v>
      </c>
    </row>
    <row r="582">
      <c r="A582" s="1" t="s">
        <v>1535</v>
      </c>
      <c r="D582" s="1" t="s">
        <v>1536</v>
      </c>
    </row>
    <row r="583">
      <c r="A583" s="1" t="s">
        <v>1537</v>
      </c>
      <c r="D583" s="1" t="s">
        <v>1538</v>
      </c>
    </row>
    <row r="584">
      <c r="A584" s="1" t="s">
        <v>1539</v>
      </c>
      <c r="D584" s="1" t="s">
        <v>1540</v>
      </c>
    </row>
    <row r="585">
      <c r="A585" s="1" t="s">
        <v>1541</v>
      </c>
      <c r="B585" s="1" t="s">
        <v>671</v>
      </c>
      <c r="C585" s="1" t="s">
        <v>45</v>
      </c>
      <c r="D585" s="1" t="s">
        <v>1542</v>
      </c>
    </row>
    <row r="586">
      <c r="A586" s="1" t="s">
        <v>1543</v>
      </c>
      <c r="D586" s="1" t="s">
        <v>1544</v>
      </c>
    </row>
    <row r="587">
      <c r="A587" s="1" t="s">
        <v>1545</v>
      </c>
      <c r="B587" s="1" t="s">
        <v>91</v>
      </c>
      <c r="C587" s="1" t="s">
        <v>31</v>
      </c>
      <c r="D587" s="1" t="s">
        <v>1546</v>
      </c>
    </row>
    <row r="588">
      <c r="A588" s="1" t="s">
        <v>1547</v>
      </c>
      <c r="D588" s="1" t="s">
        <v>1548</v>
      </c>
    </row>
    <row r="589">
      <c r="A589" s="1" t="s">
        <v>1549</v>
      </c>
      <c r="D589" s="1" t="s">
        <v>1550</v>
      </c>
    </row>
    <row r="590">
      <c r="A590" s="1" t="s">
        <v>1551</v>
      </c>
      <c r="B590" s="1" t="s">
        <v>1013</v>
      </c>
      <c r="C590" s="1" t="s">
        <v>1014</v>
      </c>
      <c r="D590" s="1" t="s">
        <v>1552</v>
      </c>
    </row>
    <row r="591">
      <c r="A591" s="1" t="s">
        <v>1553</v>
      </c>
      <c r="B591" s="1" t="s">
        <v>281</v>
      </c>
      <c r="C591" s="1" t="s">
        <v>49</v>
      </c>
      <c r="E591" s="1" t="s">
        <v>1554</v>
      </c>
    </row>
    <row r="592">
      <c r="A592" s="1" t="s">
        <v>1555</v>
      </c>
      <c r="E592" s="1" t="s">
        <v>1556</v>
      </c>
    </row>
    <row r="593">
      <c r="A593" s="1" t="s">
        <v>1557</v>
      </c>
      <c r="E593" s="1" t="s">
        <v>1558</v>
      </c>
    </row>
    <row r="594">
      <c r="A594" s="1" t="s">
        <v>1559</v>
      </c>
      <c r="E594" s="1" t="s">
        <v>1560</v>
      </c>
    </row>
    <row r="595">
      <c r="A595" s="1" t="s">
        <v>1561</v>
      </c>
      <c r="E595" s="1" t="s">
        <v>1562</v>
      </c>
    </row>
    <row r="596">
      <c r="A596" s="1" t="s">
        <v>1563</v>
      </c>
      <c r="E596" s="1" t="s">
        <v>1564</v>
      </c>
    </row>
    <row r="597">
      <c r="A597" s="1" t="s">
        <v>1565</v>
      </c>
      <c r="E597" s="1" t="s">
        <v>1566</v>
      </c>
    </row>
    <row r="598">
      <c r="A598" s="1" t="s">
        <v>1567</v>
      </c>
      <c r="E598" s="1" t="s">
        <v>1568</v>
      </c>
    </row>
    <row r="599">
      <c r="A599" s="1" t="s">
        <v>1569</v>
      </c>
      <c r="E599" s="1" t="s">
        <v>1570</v>
      </c>
    </row>
    <row r="600">
      <c r="A600" s="1" t="s">
        <v>1571</v>
      </c>
      <c r="E600" s="1" t="s">
        <v>1572</v>
      </c>
    </row>
    <row r="601">
      <c r="A601" s="1" t="s">
        <v>1573</v>
      </c>
      <c r="E601" s="1" t="s">
        <v>1574</v>
      </c>
    </row>
    <row r="602">
      <c r="A602" s="1" t="s">
        <v>1575</v>
      </c>
      <c r="E602" s="1" t="s">
        <v>1576</v>
      </c>
    </row>
    <row r="603">
      <c r="A603" s="1" t="s">
        <v>1577</v>
      </c>
      <c r="E603" s="1" t="s">
        <v>1578</v>
      </c>
    </row>
    <row r="604">
      <c r="A604" s="1" t="s">
        <v>1579</v>
      </c>
      <c r="E604" s="1" t="s">
        <v>1580</v>
      </c>
    </row>
    <row r="605">
      <c r="A605" s="1" t="s">
        <v>1581</v>
      </c>
      <c r="E605" s="1" t="s">
        <v>1582</v>
      </c>
    </row>
    <row r="606">
      <c r="A606" s="1" t="s">
        <v>1583</v>
      </c>
      <c r="E606" s="1" t="s">
        <v>1584</v>
      </c>
    </row>
    <row r="607">
      <c r="A607" s="1" t="s">
        <v>1585</v>
      </c>
      <c r="E607" s="1" t="s">
        <v>1586</v>
      </c>
    </row>
    <row r="608">
      <c r="A608" s="1" t="s">
        <v>1587</v>
      </c>
      <c r="B608" s="1" t="s">
        <v>1587</v>
      </c>
      <c r="C608" s="1" t="s">
        <v>12</v>
      </c>
      <c r="D608" s="1" t="s">
        <v>1588</v>
      </c>
      <c r="E608" s="1" t="s">
        <v>1589</v>
      </c>
      <c r="F608" s="1" t="s">
        <v>1590</v>
      </c>
    </row>
    <row r="609">
      <c r="A609" s="1" t="s">
        <v>1591</v>
      </c>
      <c r="B609" s="1" t="s">
        <v>259</v>
      </c>
      <c r="C609" s="1" t="s">
        <v>260</v>
      </c>
      <c r="D609" s="1" t="s">
        <v>1592</v>
      </c>
    </row>
    <row r="610">
      <c r="A610" s="1" t="s">
        <v>1593</v>
      </c>
      <c r="B610" s="1" t="s">
        <v>1594</v>
      </c>
      <c r="C610" s="1" t="s">
        <v>130</v>
      </c>
      <c r="D610" s="1" t="s">
        <v>1595</v>
      </c>
    </row>
    <row r="611">
      <c r="A611" s="1" t="s">
        <v>1596</v>
      </c>
      <c r="B611" s="1" t="s">
        <v>1597</v>
      </c>
      <c r="C611" s="1" t="s">
        <v>5</v>
      </c>
      <c r="D611" s="1" t="s">
        <v>1598</v>
      </c>
      <c r="F611" s="1" t="s">
        <v>1599</v>
      </c>
    </row>
    <row r="612">
      <c r="A612" s="1" t="s">
        <v>1600</v>
      </c>
      <c r="B612" s="1" t="s">
        <v>1597</v>
      </c>
      <c r="C612" s="1" t="s">
        <v>5</v>
      </c>
      <c r="D612" s="1" t="s">
        <v>1601</v>
      </c>
    </row>
    <row r="613">
      <c r="A613" s="1" t="s">
        <v>1602</v>
      </c>
      <c r="D613" s="1" t="s">
        <v>1603</v>
      </c>
    </row>
    <row r="614">
      <c r="A614" s="1" t="s">
        <v>1604</v>
      </c>
      <c r="B614" s="1" t="s">
        <v>36</v>
      </c>
      <c r="C614" s="1" t="s">
        <v>37</v>
      </c>
      <c r="D614" s="1" t="s">
        <v>1605</v>
      </c>
    </row>
    <row r="615">
      <c r="A615" s="1" t="s">
        <v>1606</v>
      </c>
      <c r="B615" s="1" t="s">
        <v>703</v>
      </c>
      <c r="C615" s="1" t="s">
        <v>37</v>
      </c>
      <c r="D615" s="1" t="s">
        <v>1607</v>
      </c>
    </row>
    <row r="616">
      <c r="A616" s="1" t="s">
        <v>1608</v>
      </c>
      <c r="B616" s="1" t="s">
        <v>36</v>
      </c>
      <c r="C616" s="1" t="s">
        <v>37</v>
      </c>
      <c r="F616" s="1" t="s">
        <v>1609</v>
      </c>
    </row>
    <row r="617">
      <c r="A617" s="1" t="s">
        <v>1610</v>
      </c>
      <c r="D617" s="1" t="s">
        <v>1611</v>
      </c>
    </row>
    <row r="618">
      <c r="A618" s="1" t="s">
        <v>1612</v>
      </c>
      <c r="B618" s="1" t="s">
        <v>972</v>
      </c>
      <c r="C618" s="1" t="s">
        <v>74</v>
      </c>
      <c r="E618" s="1" t="s">
        <v>1613</v>
      </c>
    </row>
    <row r="619">
      <c r="A619" s="1" t="s">
        <v>1614</v>
      </c>
      <c r="B619" s="1" t="s">
        <v>91</v>
      </c>
      <c r="C619" s="1" t="s">
        <v>31</v>
      </c>
      <c r="D619" s="1" t="s">
        <v>1615</v>
      </c>
    </row>
    <row r="620">
      <c r="A620" s="1" t="s">
        <v>1616</v>
      </c>
      <c r="B620" s="1" t="s">
        <v>91</v>
      </c>
      <c r="C620" s="1" t="s">
        <v>31</v>
      </c>
      <c r="D620" s="1" t="s">
        <v>1617</v>
      </c>
    </row>
    <row r="621">
      <c r="A621" s="1" t="s">
        <v>1618</v>
      </c>
      <c r="B621" s="1" t="s">
        <v>36</v>
      </c>
      <c r="C621" s="1" t="s">
        <v>37</v>
      </c>
      <c r="D621" s="1" t="s">
        <v>1619</v>
      </c>
    </row>
    <row r="622">
      <c r="A622" s="1" t="s">
        <v>1620</v>
      </c>
      <c r="D622" s="1" t="s">
        <v>1621</v>
      </c>
    </row>
    <row r="623">
      <c r="A623" s="1" t="s">
        <v>1622</v>
      </c>
      <c r="B623" s="1" t="s">
        <v>36</v>
      </c>
      <c r="C623" s="1" t="s">
        <v>37</v>
      </c>
      <c r="E623" s="1" t="s">
        <v>1623</v>
      </c>
    </row>
    <row r="624">
      <c r="A624" s="1" t="s">
        <v>1624</v>
      </c>
      <c r="D624" s="1" t="s">
        <v>1625</v>
      </c>
    </row>
    <row r="625">
      <c r="A625" s="1" t="s">
        <v>1626</v>
      </c>
      <c r="D625" s="1" t="s">
        <v>1627</v>
      </c>
    </row>
    <row r="626">
      <c r="A626" s="1" t="s">
        <v>1628</v>
      </c>
      <c r="D626" s="1" t="s">
        <v>1629</v>
      </c>
    </row>
    <row r="627">
      <c r="A627" s="1" t="s">
        <v>1630</v>
      </c>
      <c r="E627" s="1" t="s">
        <v>1631</v>
      </c>
    </row>
    <row r="628">
      <c r="A628" s="1" t="s">
        <v>1632</v>
      </c>
      <c r="B628" s="1" t="s">
        <v>566</v>
      </c>
      <c r="C628" s="1" t="s">
        <v>260</v>
      </c>
      <c r="D628" s="1" t="s">
        <v>1633</v>
      </c>
    </row>
    <row r="629">
      <c r="A629" s="1" t="s">
        <v>1634</v>
      </c>
      <c r="B629" s="1" t="s">
        <v>625</v>
      </c>
      <c r="C629" s="1" t="s">
        <v>7</v>
      </c>
      <c r="D629" s="1" t="s">
        <v>1635</v>
      </c>
      <c r="F629" s="1" t="s">
        <v>1636</v>
      </c>
    </row>
    <row r="630">
      <c r="A630" s="1" t="s">
        <v>1637</v>
      </c>
      <c r="D630" s="1" t="s">
        <v>1638</v>
      </c>
    </row>
    <row r="631">
      <c r="A631" s="1" t="s">
        <v>1639</v>
      </c>
      <c r="E631" s="1" t="s">
        <v>1640</v>
      </c>
    </row>
    <row r="632">
      <c r="A632" s="1" t="s">
        <v>1641</v>
      </c>
      <c r="B632" s="1" t="s">
        <v>91</v>
      </c>
      <c r="C632" s="1" t="s">
        <v>31</v>
      </c>
      <c r="D632" s="1" t="s">
        <v>1642</v>
      </c>
    </row>
    <row r="633">
      <c r="A633" s="1" t="s">
        <v>1643</v>
      </c>
      <c r="B633" s="1" t="s">
        <v>1643</v>
      </c>
      <c r="C633" s="1" t="s">
        <v>74</v>
      </c>
      <c r="D633" s="1" t="s">
        <v>1644</v>
      </c>
    </row>
    <row r="634">
      <c r="A634" s="1" t="s">
        <v>1645</v>
      </c>
      <c r="B634" s="1" t="s">
        <v>1645</v>
      </c>
      <c r="C634" s="1" t="s">
        <v>74</v>
      </c>
      <c r="D634" s="1" t="s">
        <v>1646</v>
      </c>
      <c r="F634" s="1" t="s">
        <v>1647</v>
      </c>
    </row>
    <row r="635">
      <c r="A635" s="1" t="s">
        <v>1648</v>
      </c>
      <c r="B635" s="1" t="s">
        <v>1649</v>
      </c>
      <c r="C635" s="1" t="s">
        <v>74</v>
      </c>
      <c r="D635" s="1" t="s">
        <v>1650</v>
      </c>
      <c r="E635" s="1" t="s">
        <v>1651</v>
      </c>
    </row>
    <row r="636">
      <c r="A636" s="1" t="s">
        <v>1652</v>
      </c>
      <c r="E636" s="1" t="s">
        <v>1653</v>
      </c>
    </row>
    <row r="637">
      <c r="A637" s="1" t="s">
        <v>1654</v>
      </c>
      <c r="E637" s="1" t="s">
        <v>1655</v>
      </c>
    </row>
    <row r="638">
      <c r="A638" s="1" t="s">
        <v>1656</v>
      </c>
      <c r="B638" s="1" t="s">
        <v>1649</v>
      </c>
      <c r="C638" s="1" t="s">
        <v>74</v>
      </c>
      <c r="F638" s="1" t="s">
        <v>1657</v>
      </c>
    </row>
    <row r="639">
      <c r="A639" s="1" t="s">
        <v>1658</v>
      </c>
      <c r="B639" s="1" t="s">
        <v>511</v>
      </c>
      <c r="C639" s="1" t="s">
        <v>79</v>
      </c>
      <c r="D639" s="1" t="s">
        <v>1659</v>
      </c>
    </row>
    <row r="640">
      <c r="A640" s="1" t="s">
        <v>1660</v>
      </c>
      <c r="B640" s="1" t="s">
        <v>1478</v>
      </c>
      <c r="C640" s="1" t="s">
        <v>5</v>
      </c>
      <c r="D640" s="1" t="s">
        <v>1661</v>
      </c>
      <c r="F640" s="1" t="s">
        <v>1662</v>
      </c>
    </row>
    <row r="641">
      <c r="A641" s="1" t="s">
        <v>1663</v>
      </c>
      <c r="E641" s="1" t="s">
        <v>1664</v>
      </c>
    </row>
    <row r="642">
      <c r="A642" s="1" t="s">
        <v>1665</v>
      </c>
      <c r="E642" s="1" t="s">
        <v>1666</v>
      </c>
    </row>
    <row r="643">
      <c r="A643" s="1" t="s">
        <v>1667</v>
      </c>
      <c r="B643" s="1" t="s">
        <v>1668</v>
      </c>
      <c r="C643" s="1" t="s">
        <v>916</v>
      </c>
      <c r="D643" s="1" t="s">
        <v>1669</v>
      </c>
    </row>
    <row r="644">
      <c r="A644" s="1" t="s">
        <v>1478</v>
      </c>
      <c r="B644" s="1" t="s">
        <v>1478</v>
      </c>
      <c r="C644" s="1" t="s">
        <v>5</v>
      </c>
      <c r="E644" s="1" t="s">
        <v>1670</v>
      </c>
    </row>
    <row r="645">
      <c r="A645" s="1" t="s">
        <v>1671</v>
      </c>
      <c r="B645" s="1" t="s">
        <v>1672</v>
      </c>
      <c r="C645" s="1" t="s">
        <v>391</v>
      </c>
      <c r="D645" s="1" t="s">
        <v>1673</v>
      </c>
    </row>
    <row r="646">
      <c r="A646" s="1" t="s">
        <v>1674</v>
      </c>
      <c r="B646" s="1" t="s">
        <v>119</v>
      </c>
      <c r="C646" s="1" t="s">
        <v>61</v>
      </c>
      <c r="D646" s="1" t="s">
        <v>1675</v>
      </c>
      <c r="E646" s="1" t="s">
        <v>1676</v>
      </c>
    </row>
    <row r="647">
      <c r="A647" s="1" t="s">
        <v>1677</v>
      </c>
      <c r="B647" s="1" t="s">
        <v>379</v>
      </c>
      <c r="C647" s="1" t="s">
        <v>74</v>
      </c>
      <c r="D647" s="1" t="s">
        <v>1678</v>
      </c>
    </row>
    <row r="648">
      <c r="A648" s="1" t="s">
        <v>1679</v>
      </c>
      <c r="B648" s="1" t="s">
        <v>379</v>
      </c>
      <c r="C648" s="1" t="s">
        <v>74</v>
      </c>
      <c r="D648" s="1" t="s">
        <v>1680</v>
      </c>
    </row>
    <row r="649">
      <c r="A649" s="1" t="s">
        <v>1681</v>
      </c>
      <c r="B649" s="1" t="s">
        <v>379</v>
      </c>
      <c r="C649" s="1" t="s">
        <v>74</v>
      </c>
      <c r="D649" s="1" t="s">
        <v>1682</v>
      </c>
      <c r="E649" s="1" t="s">
        <v>1683</v>
      </c>
      <c r="F649" s="1" t="s">
        <v>1684</v>
      </c>
    </row>
    <row r="650">
      <c r="A650" s="1" t="s">
        <v>1685</v>
      </c>
      <c r="B650" s="1" t="s">
        <v>379</v>
      </c>
      <c r="C650" s="1" t="s">
        <v>74</v>
      </c>
      <c r="D650" s="1" t="s">
        <v>1686</v>
      </c>
    </row>
    <row r="651">
      <c r="A651" s="1" t="s">
        <v>1687</v>
      </c>
      <c r="B651" s="1" t="s">
        <v>379</v>
      </c>
      <c r="C651" s="1" t="s">
        <v>74</v>
      </c>
      <c r="D651" s="1" t="s">
        <v>1688</v>
      </c>
    </row>
    <row r="652">
      <c r="A652" s="1" t="s">
        <v>1689</v>
      </c>
      <c r="B652" s="1" t="s">
        <v>379</v>
      </c>
      <c r="C652" s="1" t="s">
        <v>74</v>
      </c>
      <c r="D652" s="1" t="s">
        <v>1690</v>
      </c>
    </row>
    <row r="653">
      <c r="A653" s="1" t="s">
        <v>1691</v>
      </c>
      <c r="B653" s="1" t="s">
        <v>379</v>
      </c>
      <c r="C653" s="1" t="s">
        <v>74</v>
      </c>
      <c r="D653" s="1" t="s">
        <v>1692</v>
      </c>
    </row>
    <row r="654">
      <c r="A654" s="1" t="s">
        <v>1693</v>
      </c>
      <c r="B654" s="1" t="s">
        <v>1694</v>
      </c>
      <c r="C654" s="1" t="s">
        <v>1695</v>
      </c>
      <c r="D654" s="1" t="s">
        <v>1696</v>
      </c>
    </row>
    <row r="655">
      <c r="A655" s="1" t="s">
        <v>1697</v>
      </c>
      <c r="B655" s="1" t="s">
        <v>1698</v>
      </c>
      <c r="C655" s="1" t="s">
        <v>32</v>
      </c>
      <c r="D655" s="1" t="s">
        <v>1699</v>
      </c>
    </row>
    <row r="656">
      <c r="A656" s="1" t="s">
        <v>1700</v>
      </c>
      <c r="B656" s="1" t="s">
        <v>1698</v>
      </c>
      <c r="C656" s="1" t="s">
        <v>32</v>
      </c>
      <c r="D656" s="1" t="s">
        <v>1701</v>
      </c>
    </row>
    <row r="657">
      <c r="A657" s="1" t="s">
        <v>1702</v>
      </c>
      <c r="B657" s="1" t="s">
        <v>1703</v>
      </c>
      <c r="C657" s="1" t="s">
        <v>1704</v>
      </c>
      <c r="D657" s="1" t="s">
        <v>1705</v>
      </c>
    </row>
    <row r="658">
      <c r="A658" s="1" t="s">
        <v>1706</v>
      </c>
      <c r="B658" s="1" t="s">
        <v>1698</v>
      </c>
      <c r="C658" s="1" t="s">
        <v>32</v>
      </c>
      <c r="D658" s="1" t="s">
        <v>1707</v>
      </c>
    </row>
    <row r="659">
      <c r="A659" s="1" t="s">
        <v>1708</v>
      </c>
      <c r="B659" s="1" t="s">
        <v>1698</v>
      </c>
      <c r="C659" s="1" t="s">
        <v>32</v>
      </c>
    </row>
    <row r="660">
      <c r="A660" s="1" t="s">
        <v>1709</v>
      </c>
      <c r="B660" s="1" t="s">
        <v>1281</v>
      </c>
      <c r="C660" s="1" t="s">
        <v>503</v>
      </c>
    </row>
    <row r="661">
      <c r="A661" s="1" t="s">
        <v>1698</v>
      </c>
      <c r="B661" s="1" t="s">
        <v>1698</v>
      </c>
      <c r="C661" s="1" t="s">
        <v>32</v>
      </c>
      <c r="D661" s="1" t="s">
        <v>1710</v>
      </c>
      <c r="E661" s="1" t="s">
        <v>1711</v>
      </c>
      <c r="F661" s="1" t="s">
        <v>1712</v>
      </c>
    </row>
    <row r="662">
      <c r="A662" s="1" t="s">
        <v>1713</v>
      </c>
      <c r="B662" s="1" t="s">
        <v>566</v>
      </c>
      <c r="C662" s="1" t="s">
        <v>260</v>
      </c>
      <c r="D662" s="1" t="s">
        <v>1714</v>
      </c>
    </row>
    <row r="663">
      <c r="A663" s="1" t="s">
        <v>205</v>
      </c>
      <c r="B663" s="1" t="s">
        <v>205</v>
      </c>
      <c r="C663" s="1" t="s">
        <v>79</v>
      </c>
      <c r="D663" s="1" t="s">
        <v>1715</v>
      </c>
      <c r="E663" s="1" t="s">
        <v>1716</v>
      </c>
      <c r="F663" s="1" t="s">
        <v>1717</v>
      </c>
    </row>
    <row r="664">
      <c r="A664" s="1" t="s">
        <v>1718</v>
      </c>
      <c r="E664" s="1" t="s">
        <v>1719</v>
      </c>
    </row>
    <row r="665">
      <c r="A665" s="1" t="s">
        <v>1720</v>
      </c>
      <c r="E665" s="1" t="s">
        <v>1721</v>
      </c>
    </row>
    <row r="666">
      <c r="A666" s="1" t="s">
        <v>119</v>
      </c>
      <c r="B666" s="1" t="s">
        <v>119</v>
      </c>
      <c r="C666" s="1" t="s">
        <v>61</v>
      </c>
      <c r="D666" s="1" t="s">
        <v>1722</v>
      </c>
      <c r="F666" s="1" t="s">
        <v>1723</v>
      </c>
    </row>
    <row r="667">
      <c r="A667" s="1" t="s">
        <v>1724</v>
      </c>
      <c r="B667" s="1" t="s">
        <v>36</v>
      </c>
      <c r="C667" s="1" t="s">
        <v>37</v>
      </c>
      <c r="E667" s="1" t="s">
        <v>1725</v>
      </c>
    </row>
    <row r="668">
      <c r="A668" s="1" t="s">
        <v>1726</v>
      </c>
      <c r="E668" s="1" t="s">
        <v>1727</v>
      </c>
    </row>
    <row r="669">
      <c r="A669" s="1" t="s">
        <v>1728</v>
      </c>
      <c r="B669" s="1" t="s">
        <v>36</v>
      </c>
      <c r="C669" s="1" t="s">
        <v>37</v>
      </c>
      <c r="D669" s="1" t="s">
        <v>1729</v>
      </c>
    </row>
    <row r="670">
      <c r="A670" s="1" t="s">
        <v>1730</v>
      </c>
      <c r="B670" s="1" t="s">
        <v>284</v>
      </c>
      <c r="C670" s="1" t="s">
        <v>74</v>
      </c>
      <c r="E670" s="1" t="s">
        <v>1731</v>
      </c>
    </row>
    <row r="671">
      <c r="A671" s="1" t="s">
        <v>1732</v>
      </c>
      <c r="B671" s="1" t="s">
        <v>629</v>
      </c>
      <c r="C671" s="1" t="s">
        <v>37</v>
      </c>
      <c r="E671" s="1" t="s">
        <v>1733</v>
      </c>
    </row>
    <row r="672">
      <c r="A672" s="1" t="s">
        <v>1734</v>
      </c>
      <c r="E672" s="1" t="s">
        <v>1735</v>
      </c>
    </row>
    <row r="673">
      <c r="A673" s="1" t="s">
        <v>1736</v>
      </c>
      <c r="B673" s="1" t="s">
        <v>1492</v>
      </c>
      <c r="C673" s="1" t="s">
        <v>49</v>
      </c>
      <c r="E673" s="1" t="s">
        <v>1737</v>
      </c>
    </row>
    <row r="674">
      <c r="A674" s="1" t="s">
        <v>1738</v>
      </c>
      <c r="B674" s="1" t="s">
        <v>36</v>
      </c>
      <c r="C674" s="1" t="s">
        <v>37</v>
      </c>
      <c r="E674" s="1" t="s">
        <v>1739</v>
      </c>
    </row>
    <row r="675">
      <c r="A675" s="1" t="s">
        <v>1740</v>
      </c>
      <c r="E675" s="1" t="s">
        <v>1741</v>
      </c>
    </row>
    <row r="676">
      <c r="A676" s="1" t="s">
        <v>1742</v>
      </c>
      <c r="E676" s="1" t="s">
        <v>1743</v>
      </c>
    </row>
    <row r="677">
      <c r="A677" s="1" t="s">
        <v>1744</v>
      </c>
      <c r="E677" s="1" t="s">
        <v>1745</v>
      </c>
    </row>
    <row r="678">
      <c r="A678" s="1" t="s">
        <v>1746</v>
      </c>
      <c r="B678" s="1" t="s">
        <v>36</v>
      </c>
      <c r="C678" s="1" t="s">
        <v>37</v>
      </c>
      <c r="D678" s="1" t="s">
        <v>1747</v>
      </c>
    </row>
    <row r="679">
      <c r="A679" s="1" t="s">
        <v>1748</v>
      </c>
      <c r="B679" s="1" t="s">
        <v>1749</v>
      </c>
      <c r="C679" s="1" t="s">
        <v>1750</v>
      </c>
      <c r="D679" s="1" t="s">
        <v>1751</v>
      </c>
    </row>
    <row r="680">
      <c r="A680" s="1" t="s">
        <v>1752</v>
      </c>
      <c r="B680" s="1" t="s">
        <v>1749</v>
      </c>
      <c r="C680" s="1" t="s">
        <v>1750</v>
      </c>
      <c r="D680" s="1" t="s">
        <v>1753</v>
      </c>
    </row>
    <row r="681">
      <c r="A681" s="1" t="s">
        <v>1754</v>
      </c>
      <c r="B681" s="1" t="s">
        <v>1749</v>
      </c>
      <c r="C681" s="1" t="s">
        <v>1750</v>
      </c>
      <c r="D681" s="1" t="s">
        <v>1755</v>
      </c>
    </row>
    <row r="682">
      <c r="A682" s="1" t="s">
        <v>1756</v>
      </c>
      <c r="B682" s="1" t="s">
        <v>642</v>
      </c>
      <c r="C682" s="1" t="s">
        <v>49</v>
      </c>
      <c r="D682" s="1" t="s">
        <v>1757</v>
      </c>
    </row>
    <row r="683">
      <c r="A683" s="1" t="s">
        <v>1758</v>
      </c>
      <c r="D683" s="1" t="s">
        <v>1759</v>
      </c>
    </row>
    <row r="684">
      <c r="A684" s="1" t="s">
        <v>1760</v>
      </c>
      <c r="B684" s="1" t="s">
        <v>91</v>
      </c>
      <c r="C684" s="1" t="s">
        <v>31</v>
      </c>
      <c r="E684" s="1" t="s">
        <v>1761</v>
      </c>
      <c r="F684" s="1" t="s">
        <v>1762</v>
      </c>
    </row>
    <row r="685">
      <c r="A685" s="1" t="s">
        <v>1763</v>
      </c>
      <c r="E685" s="1" t="s">
        <v>1764</v>
      </c>
    </row>
    <row r="686">
      <c r="A686" s="1" t="s">
        <v>1765</v>
      </c>
      <c r="E686" s="1" t="s">
        <v>1766</v>
      </c>
    </row>
    <row r="687">
      <c r="A687" s="1" t="s">
        <v>1767</v>
      </c>
      <c r="B687" s="1" t="s">
        <v>100</v>
      </c>
      <c r="C687" s="1" t="s">
        <v>101</v>
      </c>
      <c r="D687" s="1" t="s">
        <v>1768</v>
      </c>
    </row>
    <row r="688">
      <c r="A688" s="1" t="s">
        <v>1769</v>
      </c>
      <c r="D688" s="1" t="s">
        <v>1770</v>
      </c>
    </row>
    <row r="689">
      <c r="A689" s="1" t="s">
        <v>1771</v>
      </c>
      <c r="D689" s="1" t="s">
        <v>1772</v>
      </c>
    </row>
    <row r="690">
      <c r="A690" s="1" t="s">
        <v>1773</v>
      </c>
      <c r="E690" s="1" t="s">
        <v>1774</v>
      </c>
    </row>
    <row r="691">
      <c r="A691" s="1" t="s">
        <v>1775</v>
      </c>
      <c r="D691" s="1" t="s">
        <v>1776</v>
      </c>
    </row>
    <row r="692">
      <c r="A692" s="1" t="s">
        <v>1777</v>
      </c>
      <c r="E692" s="1" t="s">
        <v>1778</v>
      </c>
    </row>
    <row r="693">
      <c r="A693" s="1" t="s">
        <v>471</v>
      </c>
      <c r="B693" s="1" t="s">
        <v>471</v>
      </c>
      <c r="C693" s="1" t="s">
        <v>56</v>
      </c>
      <c r="D693" s="1" t="s">
        <v>1779</v>
      </c>
      <c r="E693" s="1" t="s">
        <v>1780</v>
      </c>
      <c r="F693" s="1" t="s">
        <v>1781</v>
      </c>
    </row>
    <row r="694">
      <c r="A694" s="1" t="s">
        <v>1782</v>
      </c>
      <c r="E694" s="1" t="s">
        <v>1783</v>
      </c>
    </row>
    <row r="695">
      <c r="A695" s="1" t="s">
        <v>1784</v>
      </c>
      <c r="E695" s="1" t="s">
        <v>1785</v>
      </c>
    </row>
    <row r="696">
      <c r="A696" s="1" t="s">
        <v>1786</v>
      </c>
      <c r="B696" s="1" t="s">
        <v>471</v>
      </c>
      <c r="C696" s="1" t="s">
        <v>56</v>
      </c>
      <c r="D696" s="1" t="s">
        <v>1787</v>
      </c>
    </row>
    <row r="697">
      <c r="A697" s="1" t="s">
        <v>1788</v>
      </c>
      <c r="B697" s="1" t="s">
        <v>91</v>
      </c>
      <c r="C697" s="1" t="s">
        <v>31</v>
      </c>
      <c r="D697" s="1" t="s">
        <v>1789</v>
      </c>
    </row>
    <row r="698">
      <c r="A698" s="1" t="s">
        <v>1790</v>
      </c>
      <c r="B698" s="1" t="s">
        <v>43</v>
      </c>
      <c r="C698" s="1" t="s">
        <v>45</v>
      </c>
      <c r="E698" s="1" t="s">
        <v>1791</v>
      </c>
    </row>
    <row r="699">
      <c r="A699" s="1" t="s">
        <v>1792</v>
      </c>
      <c r="E699" s="1" t="s">
        <v>1793</v>
      </c>
    </row>
    <row r="700">
      <c r="A700" s="1" t="s">
        <v>1794</v>
      </c>
      <c r="D700" s="1">
        <v>56.0</v>
      </c>
    </row>
    <row r="701">
      <c r="A701" s="1" t="s">
        <v>1795</v>
      </c>
      <c r="D701" s="1" t="s">
        <v>1796</v>
      </c>
    </row>
    <row r="702">
      <c r="A702" s="1" t="s">
        <v>1797</v>
      </c>
      <c r="D702" s="1" t="s">
        <v>1798</v>
      </c>
    </row>
    <row r="703">
      <c r="A703" s="1" t="s">
        <v>1799</v>
      </c>
      <c r="B703" s="1" t="s">
        <v>259</v>
      </c>
      <c r="C703" s="1" t="s">
        <v>260</v>
      </c>
      <c r="D703" s="1" t="s">
        <v>1800</v>
      </c>
    </row>
    <row r="704">
      <c r="A704" s="1" t="s">
        <v>1801</v>
      </c>
      <c r="B704" s="1" t="s">
        <v>91</v>
      </c>
      <c r="C704" s="1" t="s">
        <v>31</v>
      </c>
      <c r="D704" s="1" t="s">
        <v>1802</v>
      </c>
    </row>
    <row r="705">
      <c r="A705" s="1" t="s">
        <v>1803</v>
      </c>
      <c r="B705" s="1" t="s">
        <v>36</v>
      </c>
      <c r="C705" s="1" t="s">
        <v>37</v>
      </c>
      <c r="E705" s="1" t="s">
        <v>1804</v>
      </c>
    </row>
    <row r="706">
      <c r="A706" s="1" t="s">
        <v>1805</v>
      </c>
      <c r="B706" s="1" t="s">
        <v>36</v>
      </c>
      <c r="C706" s="1" t="s">
        <v>37</v>
      </c>
      <c r="E706" s="1" t="s">
        <v>1806</v>
      </c>
    </row>
    <row r="707">
      <c r="A707" s="1" t="s">
        <v>1807</v>
      </c>
      <c r="B707" s="1" t="s">
        <v>1808</v>
      </c>
      <c r="C707" s="1" t="s">
        <v>1809</v>
      </c>
      <c r="E707" s="1" t="s">
        <v>1810</v>
      </c>
    </row>
    <row r="708">
      <c r="A708" s="1" t="s">
        <v>1811</v>
      </c>
      <c r="E708" s="1" t="s">
        <v>1812</v>
      </c>
    </row>
    <row r="709">
      <c r="A709" s="1" t="s">
        <v>1813</v>
      </c>
      <c r="D709" s="1" t="s">
        <v>1814</v>
      </c>
      <c r="F709" s="1" t="s">
        <v>1815</v>
      </c>
    </row>
    <row r="710">
      <c r="A710" s="1" t="s">
        <v>1816</v>
      </c>
      <c r="B710" s="1" t="s">
        <v>428</v>
      </c>
      <c r="C710" s="1" t="s">
        <v>26</v>
      </c>
      <c r="D710" s="1" t="s">
        <v>1817</v>
      </c>
    </row>
    <row r="711">
      <c r="A711" s="1" t="s">
        <v>1818</v>
      </c>
      <c r="E711" s="1" t="s">
        <v>1819</v>
      </c>
    </row>
    <row r="712">
      <c r="A712" s="1" t="s">
        <v>1820</v>
      </c>
      <c r="B712" s="1" t="s">
        <v>1821</v>
      </c>
      <c r="C712" s="1" t="s">
        <v>556</v>
      </c>
      <c r="E712" s="1" t="s">
        <v>1822</v>
      </c>
    </row>
    <row r="713">
      <c r="A713" s="1" t="s">
        <v>1823</v>
      </c>
      <c r="E713" s="1" t="s">
        <v>1824</v>
      </c>
    </row>
    <row r="714">
      <c r="A714" s="1" t="s">
        <v>1825</v>
      </c>
      <c r="B714" s="1" t="s">
        <v>1826</v>
      </c>
      <c r="C714" s="1" t="s">
        <v>1827</v>
      </c>
      <c r="E714" s="1" t="s">
        <v>1828</v>
      </c>
    </row>
    <row r="715">
      <c r="A715" s="1" t="s">
        <v>1829</v>
      </c>
      <c r="B715" s="1" t="s">
        <v>1064</v>
      </c>
      <c r="C715" s="1" t="s">
        <v>5</v>
      </c>
      <c r="E715" s="1" t="s">
        <v>1830</v>
      </c>
      <c r="F715" s="1" t="s">
        <v>1831</v>
      </c>
    </row>
    <row r="716">
      <c r="A716" s="1" t="s">
        <v>1832</v>
      </c>
      <c r="B716" s="1" t="s">
        <v>785</v>
      </c>
      <c r="C716" s="1" t="s">
        <v>61</v>
      </c>
      <c r="E716" s="1" t="s">
        <v>1833</v>
      </c>
    </row>
    <row r="717">
      <c r="A717" s="1" t="s">
        <v>1834</v>
      </c>
      <c r="B717" s="1" t="s">
        <v>1835</v>
      </c>
      <c r="C717" s="1" t="s">
        <v>7</v>
      </c>
      <c r="E717" s="1" t="s">
        <v>1836</v>
      </c>
    </row>
    <row r="718">
      <c r="A718" s="1" t="s">
        <v>1837</v>
      </c>
      <c r="B718" s="1" t="s">
        <v>1835</v>
      </c>
      <c r="C718" s="1" t="s">
        <v>7</v>
      </c>
      <c r="D718" s="1" t="s">
        <v>1838</v>
      </c>
    </row>
    <row r="719">
      <c r="A719" s="1" t="s">
        <v>1839</v>
      </c>
      <c r="B719" s="1" t="s">
        <v>1835</v>
      </c>
      <c r="C719" s="1" t="s">
        <v>7</v>
      </c>
      <c r="D719" s="1" t="s">
        <v>1840</v>
      </c>
      <c r="E719" s="1" t="s">
        <v>1841</v>
      </c>
      <c r="F719" s="1" t="s">
        <v>1842</v>
      </c>
    </row>
    <row r="720">
      <c r="A720" s="1" t="s">
        <v>1843</v>
      </c>
      <c r="B720" s="1" t="s">
        <v>185</v>
      </c>
      <c r="C720" s="1" t="s">
        <v>49</v>
      </c>
      <c r="D720" s="1" t="s">
        <v>1844</v>
      </c>
      <c r="F720" s="1" t="s">
        <v>1845</v>
      </c>
    </row>
    <row r="721">
      <c r="A721" s="1" t="s">
        <v>1846</v>
      </c>
      <c r="E721" s="1" t="s">
        <v>1847</v>
      </c>
    </row>
    <row r="722">
      <c r="A722" s="1" t="s">
        <v>1848</v>
      </c>
      <c r="E722" s="1" t="s">
        <v>1849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26.88"/>
  </cols>
  <sheetData>
    <row r="1">
      <c r="A1" s="1" t="s">
        <v>0</v>
      </c>
      <c r="B1" s="1" t="s">
        <v>4</v>
      </c>
    </row>
    <row r="2">
      <c r="A2" s="1" t="s">
        <v>5</v>
      </c>
      <c r="B2" s="1" t="s">
        <v>6</v>
      </c>
    </row>
    <row r="3">
      <c r="A3" s="1" t="s">
        <v>7</v>
      </c>
      <c r="B3" s="1" t="s">
        <v>9</v>
      </c>
    </row>
    <row r="4">
      <c r="A4" s="1" t="s">
        <v>12</v>
      </c>
      <c r="B4" s="1" t="s">
        <v>14</v>
      </c>
    </row>
    <row r="5">
      <c r="A5" s="1" t="s">
        <v>18</v>
      </c>
      <c r="B5" s="1" t="s">
        <v>19</v>
      </c>
    </row>
    <row r="6">
      <c r="A6" s="1" t="s">
        <v>21</v>
      </c>
      <c r="B6" s="1" t="s">
        <v>22</v>
      </c>
    </row>
    <row r="7">
      <c r="A7" s="1" t="s">
        <v>24</v>
      </c>
      <c r="B7" s="1" t="s">
        <v>25</v>
      </c>
    </row>
    <row r="8">
      <c r="A8" s="1" t="s">
        <v>26</v>
      </c>
      <c r="B8" s="1" t="s">
        <v>27</v>
      </c>
    </row>
    <row r="9">
      <c r="A9" s="1" t="s">
        <v>28</v>
      </c>
      <c r="B9" s="1" t="s">
        <v>30</v>
      </c>
    </row>
    <row r="10">
      <c r="A10" s="1" t="s">
        <v>32</v>
      </c>
      <c r="B10" s="1" t="s">
        <v>35</v>
      </c>
    </row>
    <row r="11">
      <c r="A11" s="1" t="s">
        <v>39</v>
      </c>
      <c r="B11" s="1" t="s">
        <v>41</v>
      </c>
    </row>
    <row r="12">
      <c r="A12" s="1" t="s">
        <v>31</v>
      </c>
      <c r="B12" s="1" t="s">
        <v>46</v>
      </c>
    </row>
    <row r="13">
      <c r="A13" s="1" t="s">
        <v>49</v>
      </c>
      <c r="B13" s="1" t="s">
        <v>52</v>
      </c>
    </row>
    <row r="14">
      <c r="A14" s="1" t="s">
        <v>56</v>
      </c>
      <c r="B14" s="1" t="s">
        <v>59</v>
      </c>
    </row>
    <row r="15">
      <c r="A15" s="1" t="s">
        <v>61</v>
      </c>
      <c r="B15" s="1" t="s">
        <v>63</v>
      </c>
    </row>
    <row r="16">
      <c r="A16" s="1" t="s">
        <v>37</v>
      </c>
      <c r="B16" s="1" t="s">
        <v>64</v>
      </c>
    </row>
    <row r="17">
      <c r="A17" s="1" t="s">
        <v>65</v>
      </c>
      <c r="B17" s="1" t="s">
        <v>66</v>
      </c>
    </row>
    <row r="18">
      <c r="A18" s="1" t="s">
        <v>69</v>
      </c>
      <c r="B18" s="1" t="s">
        <v>71</v>
      </c>
    </row>
    <row r="19">
      <c r="A19" s="1" t="s">
        <v>74</v>
      </c>
      <c r="B19" s="1" t="s">
        <v>77</v>
      </c>
    </row>
    <row r="20">
      <c r="A20" s="1" t="s">
        <v>79</v>
      </c>
      <c r="B20" s="1" t="s">
        <v>82</v>
      </c>
    </row>
    <row r="21">
      <c r="A21" s="1" t="s">
        <v>45</v>
      </c>
      <c r="B21" s="1" t="s">
        <v>85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  <col customWidth="1" min="3" max="3" width="19.5"/>
    <col customWidth="1" min="4" max="4" width="57.5"/>
    <col customWidth="1" min="8" max="8" width="22.75"/>
    <col customWidth="1" min="9" max="9" width="64.88"/>
  </cols>
  <sheetData>
    <row r="1">
      <c r="A1" s="3" t="s">
        <v>2</v>
      </c>
      <c r="B1" s="3" t="s">
        <v>16</v>
      </c>
      <c r="C1" s="3" t="s">
        <v>0</v>
      </c>
      <c r="D1" s="5" t="s">
        <v>23</v>
      </c>
      <c r="I1" s="6"/>
    </row>
    <row r="2">
      <c r="A2" s="7" t="b">
        <v>1</v>
      </c>
      <c r="B2" s="7" t="s">
        <v>29</v>
      </c>
      <c r="C2" s="7" t="s">
        <v>31</v>
      </c>
      <c r="D2" s="8" t="s">
        <v>33</v>
      </c>
      <c r="G2" s="3" t="s">
        <v>38</v>
      </c>
      <c r="H2" s="3" t="s">
        <v>42</v>
      </c>
      <c r="I2" s="5" t="s">
        <v>44</v>
      </c>
    </row>
    <row r="3">
      <c r="A3" s="7" t="b">
        <v>1</v>
      </c>
      <c r="B3" s="7" t="s">
        <v>50</v>
      </c>
      <c r="C3" s="7" t="s">
        <v>53</v>
      </c>
      <c r="D3" s="8" t="s">
        <v>54</v>
      </c>
      <c r="G3" s="9"/>
      <c r="H3" s="7" t="s">
        <v>67</v>
      </c>
      <c r="I3" s="8" t="s">
        <v>70</v>
      </c>
    </row>
    <row r="4">
      <c r="A4" s="7" t="b">
        <v>1</v>
      </c>
      <c r="B4" s="7" t="s">
        <v>78</v>
      </c>
      <c r="C4" s="7" t="s">
        <v>80</v>
      </c>
      <c r="D4" s="8" t="s">
        <v>83</v>
      </c>
      <c r="G4" s="9"/>
      <c r="H4" s="7" t="s">
        <v>86</v>
      </c>
      <c r="I4" s="8" t="s">
        <v>88</v>
      </c>
    </row>
    <row r="5">
      <c r="A5" s="7" t="b">
        <v>1</v>
      </c>
      <c r="B5" s="7" t="s">
        <v>92</v>
      </c>
      <c r="C5" s="7" t="s">
        <v>18</v>
      </c>
      <c r="D5" s="8" t="s">
        <v>95</v>
      </c>
      <c r="G5" s="9"/>
      <c r="H5" s="7" t="s">
        <v>97</v>
      </c>
      <c r="I5" s="8" t="s">
        <v>98</v>
      </c>
    </row>
    <row r="6">
      <c r="A6" s="7" t="b">
        <v>1</v>
      </c>
      <c r="B6" s="7" t="s">
        <v>103</v>
      </c>
      <c r="C6" s="7" t="s">
        <v>104</v>
      </c>
      <c r="D6" s="8" t="s">
        <v>107</v>
      </c>
      <c r="G6" s="11" t="s">
        <v>110</v>
      </c>
      <c r="H6" s="7" t="s">
        <v>120</v>
      </c>
      <c r="I6" s="8" t="s">
        <v>122</v>
      </c>
    </row>
    <row r="7">
      <c r="A7" s="7" t="b">
        <v>1</v>
      </c>
      <c r="B7" s="7" t="s">
        <v>125</v>
      </c>
      <c r="C7" s="7" t="s">
        <v>49</v>
      </c>
      <c r="D7" s="8" t="s">
        <v>127</v>
      </c>
      <c r="G7" s="9"/>
      <c r="H7" s="7" t="s">
        <v>131</v>
      </c>
      <c r="I7" s="8" t="s">
        <v>133</v>
      </c>
    </row>
    <row r="8">
      <c r="A8" s="7" t="b">
        <v>1</v>
      </c>
      <c r="B8" s="7" t="s">
        <v>136</v>
      </c>
      <c r="C8" s="7" t="s">
        <v>37</v>
      </c>
      <c r="D8" s="8" t="s">
        <v>139</v>
      </c>
      <c r="G8" s="9"/>
      <c r="H8" s="7" t="s">
        <v>140</v>
      </c>
      <c r="I8" s="8" t="s">
        <v>142</v>
      </c>
    </row>
    <row r="9">
      <c r="A9" s="7" t="b">
        <v>1</v>
      </c>
      <c r="B9" s="7" t="s">
        <v>143</v>
      </c>
      <c r="C9" s="7" t="s">
        <v>7</v>
      </c>
      <c r="D9" s="8" t="s">
        <v>146</v>
      </c>
      <c r="G9" s="9"/>
      <c r="H9" s="7" t="s">
        <v>140</v>
      </c>
      <c r="I9" s="8" t="s">
        <v>142</v>
      </c>
    </row>
    <row r="10">
      <c r="A10" s="7" t="b">
        <v>1</v>
      </c>
      <c r="B10" s="7" t="s">
        <v>151</v>
      </c>
      <c r="C10" s="7" t="s">
        <v>21</v>
      </c>
      <c r="D10" s="8" t="s">
        <v>154</v>
      </c>
      <c r="G10" s="9"/>
      <c r="H10" s="7" t="s">
        <v>140</v>
      </c>
      <c r="I10" s="8" t="s">
        <v>142</v>
      </c>
    </row>
    <row r="11">
      <c r="A11" s="7" t="b">
        <v>1</v>
      </c>
      <c r="B11" s="7" t="s">
        <v>158</v>
      </c>
      <c r="C11" s="7" t="s">
        <v>5</v>
      </c>
      <c r="D11" s="8" t="s">
        <v>161</v>
      </c>
      <c r="G11" s="9"/>
      <c r="H11" s="7" t="s">
        <v>164</v>
      </c>
      <c r="I11" s="8" t="s">
        <v>167</v>
      </c>
    </row>
    <row r="12">
      <c r="A12" s="7" t="b">
        <v>1</v>
      </c>
      <c r="B12" s="7" t="s">
        <v>170</v>
      </c>
      <c r="C12" s="7" t="s">
        <v>26</v>
      </c>
      <c r="D12" s="8" t="s">
        <v>172</v>
      </c>
      <c r="G12" s="12"/>
      <c r="H12" s="12"/>
      <c r="I12" s="13"/>
    </row>
    <row r="13">
      <c r="A13" s="7" t="b">
        <v>1</v>
      </c>
      <c r="B13" s="7" t="s">
        <v>183</v>
      </c>
      <c r="C13" s="7" t="s">
        <v>65</v>
      </c>
      <c r="D13" s="8" t="s">
        <v>186</v>
      </c>
      <c r="I13" s="6"/>
    </row>
    <row r="14">
      <c r="A14" s="7" t="b">
        <v>1</v>
      </c>
      <c r="B14" s="7" t="s">
        <v>190</v>
      </c>
      <c r="C14" s="7" t="s">
        <v>28</v>
      </c>
      <c r="D14" s="8" t="s">
        <v>193</v>
      </c>
      <c r="I14" s="6"/>
    </row>
    <row r="15">
      <c r="A15" s="7" t="b">
        <v>1</v>
      </c>
      <c r="B15" s="7" t="s">
        <v>196</v>
      </c>
      <c r="C15" s="7" t="s">
        <v>61</v>
      </c>
      <c r="D15" s="8" t="s">
        <v>199</v>
      </c>
      <c r="I15" s="6"/>
    </row>
    <row r="16">
      <c r="A16" s="7" t="b">
        <v>1</v>
      </c>
      <c r="B16" s="7" t="s">
        <v>203</v>
      </c>
      <c r="C16" s="7" t="s">
        <v>24</v>
      </c>
      <c r="D16" s="8" t="s">
        <v>206</v>
      </c>
      <c r="I16" s="6"/>
    </row>
    <row r="17">
      <c r="A17" s="7" t="b">
        <v>1</v>
      </c>
      <c r="B17" s="7" t="s">
        <v>209</v>
      </c>
      <c r="C17" s="7" t="s">
        <v>74</v>
      </c>
      <c r="D17" s="8" t="s">
        <v>214</v>
      </c>
      <c r="I17" s="6"/>
    </row>
    <row r="18">
      <c r="A18" s="7" t="b">
        <v>1</v>
      </c>
      <c r="B18" s="7" t="s">
        <v>218</v>
      </c>
      <c r="C18" s="7" t="s">
        <v>32</v>
      </c>
      <c r="D18" s="8" t="s">
        <v>220</v>
      </c>
      <c r="I18" s="6"/>
    </row>
    <row r="19">
      <c r="A19" s="7" t="b">
        <v>1</v>
      </c>
      <c r="B19" s="7" t="s">
        <v>223</v>
      </c>
      <c r="C19" s="7" t="s">
        <v>12</v>
      </c>
      <c r="D19" s="8" t="s">
        <v>225</v>
      </c>
      <c r="I19" s="6"/>
    </row>
    <row r="20">
      <c r="A20" s="7" t="b">
        <v>1</v>
      </c>
      <c r="B20" s="7" t="s">
        <v>228</v>
      </c>
      <c r="C20" s="7" t="s">
        <v>79</v>
      </c>
      <c r="D20" s="8" t="s">
        <v>231</v>
      </c>
      <c r="I20" s="6"/>
    </row>
    <row r="21">
      <c r="A21" s="7" t="b">
        <v>1</v>
      </c>
      <c r="B21" s="7" t="s">
        <v>235</v>
      </c>
      <c r="C21" s="7" t="s">
        <v>237</v>
      </c>
      <c r="D21" s="8" t="s">
        <v>238</v>
      </c>
      <c r="I21" s="6"/>
    </row>
    <row r="22">
      <c r="A22" s="7" t="b">
        <v>1</v>
      </c>
      <c r="B22" s="7" t="s">
        <v>243</v>
      </c>
      <c r="C22" s="7" t="s">
        <v>56</v>
      </c>
      <c r="D22" s="8" t="s">
        <v>245</v>
      </c>
      <c r="I22" s="6"/>
    </row>
    <row r="23">
      <c r="D23" s="6"/>
      <c r="I23" s="6"/>
    </row>
    <row r="24">
      <c r="D24" s="6"/>
      <c r="I24" s="6"/>
    </row>
    <row r="25">
      <c r="D25" s="6"/>
      <c r="I25" s="6"/>
    </row>
    <row r="26">
      <c r="D26" s="6"/>
      <c r="I26" s="6"/>
    </row>
    <row r="27">
      <c r="D27" s="6"/>
      <c r="I27" s="6"/>
    </row>
    <row r="28">
      <c r="D28" s="6"/>
      <c r="I28" s="6"/>
    </row>
    <row r="29">
      <c r="D29" s="6"/>
      <c r="I29" s="6"/>
    </row>
    <row r="30">
      <c r="D30" s="6"/>
      <c r="I30" s="6"/>
    </row>
    <row r="31">
      <c r="D31" s="6"/>
      <c r="I31" s="6"/>
    </row>
    <row r="32">
      <c r="D32" s="6"/>
      <c r="I32" s="6"/>
    </row>
    <row r="33">
      <c r="D33" s="6"/>
      <c r="I33" s="6"/>
    </row>
    <row r="34">
      <c r="D34" s="6"/>
      <c r="I34" s="6"/>
    </row>
    <row r="35">
      <c r="D35" s="6"/>
      <c r="I35" s="6"/>
    </row>
    <row r="36">
      <c r="D36" s="6"/>
      <c r="I36" s="6"/>
    </row>
    <row r="37">
      <c r="D37" s="6"/>
      <c r="I37" s="6"/>
    </row>
    <row r="38">
      <c r="D38" s="6"/>
      <c r="I38" s="6"/>
    </row>
    <row r="39">
      <c r="D39" s="6"/>
      <c r="I39" s="6"/>
    </row>
    <row r="40">
      <c r="D40" s="6"/>
      <c r="I40" s="6"/>
    </row>
    <row r="41">
      <c r="D41" s="6"/>
      <c r="I41" s="6"/>
    </row>
    <row r="42">
      <c r="D42" s="6"/>
      <c r="I42" s="6"/>
    </row>
    <row r="43">
      <c r="D43" s="6"/>
      <c r="I43" s="6"/>
    </row>
    <row r="44">
      <c r="D44" s="6"/>
      <c r="I44" s="6"/>
    </row>
    <row r="45">
      <c r="D45" s="6"/>
      <c r="I45" s="6"/>
    </row>
    <row r="46">
      <c r="D46" s="6"/>
      <c r="I46" s="6"/>
    </row>
    <row r="47">
      <c r="D47" s="6"/>
      <c r="I47" s="6"/>
    </row>
    <row r="48">
      <c r="D48" s="6"/>
      <c r="I48" s="6"/>
    </row>
    <row r="49">
      <c r="D49" s="6"/>
      <c r="I49" s="6"/>
    </row>
    <row r="50">
      <c r="D50" s="6"/>
      <c r="I50" s="6"/>
    </row>
    <row r="51">
      <c r="D51" s="6"/>
      <c r="I51" s="6"/>
    </row>
    <row r="52">
      <c r="D52" s="6"/>
      <c r="I52" s="6"/>
    </row>
    <row r="53">
      <c r="D53" s="6"/>
      <c r="I53" s="6"/>
    </row>
    <row r="54">
      <c r="D54" s="6"/>
      <c r="I54" s="6"/>
    </row>
    <row r="55">
      <c r="D55" s="6"/>
      <c r="I55" s="6"/>
    </row>
    <row r="56">
      <c r="D56" s="6"/>
      <c r="I56" s="6"/>
    </row>
    <row r="57">
      <c r="D57" s="6"/>
      <c r="I57" s="6"/>
    </row>
    <row r="58">
      <c r="D58" s="6"/>
      <c r="I58" s="6"/>
    </row>
    <row r="59">
      <c r="D59" s="6"/>
      <c r="I59" s="6"/>
    </row>
    <row r="60">
      <c r="D60" s="6"/>
      <c r="I60" s="6"/>
    </row>
    <row r="61">
      <c r="D61" s="6"/>
      <c r="I61" s="6"/>
    </row>
    <row r="62">
      <c r="D62" s="6"/>
      <c r="I62" s="6"/>
    </row>
    <row r="63">
      <c r="D63" s="6"/>
      <c r="I63" s="6"/>
    </row>
    <row r="64">
      <c r="D64" s="6"/>
      <c r="I64" s="6"/>
    </row>
    <row r="65">
      <c r="D65" s="6"/>
      <c r="I65" s="6"/>
    </row>
    <row r="66">
      <c r="D66" s="6"/>
      <c r="I66" s="6"/>
    </row>
    <row r="67">
      <c r="D67" s="6"/>
      <c r="I67" s="6"/>
    </row>
    <row r="68">
      <c r="D68" s="6"/>
      <c r="I68" s="6"/>
    </row>
    <row r="69">
      <c r="D69" s="6"/>
      <c r="I69" s="6"/>
    </row>
    <row r="70">
      <c r="D70" s="6"/>
      <c r="I70" s="6"/>
    </row>
    <row r="71">
      <c r="D71" s="6"/>
      <c r="I71" s="6"/>
    </row>
    <row r="72">
      <c r="D72" s="6"/>
      <c r="I72" s="6"/>
    </row>
    <row r="73">
      <c r="D73" s="6"/>
      <c r="I73" s="6"/>
    </row>
    <row r="74">
      <c r="D74" s="6"/>
      <c r="I74" s="6"/>
    </row>
    <row r="75">
      <c r="D75" s="6"/>
      <c r="I75" s="6"/>
    </row>
    <row r="76">
      <c r="D76" s="6"/>
      <c r="I76" s="6"/>
    </row>
    <row r="77">
      <c r="D77" s="6"/>
      <c r="I77" s="6"/>
    </row>
    <row r="78">
      <c r="D78" s="6"/>
      <c r="I78" s="6"/>
    </row>
    <row r="79">
      <c r="D79" s="6"/>
      <c r="I79" s="6"/>
    </row>
    <row r="80">
      <c r="D80" s="6"/>
      <c r="I80" s="6"/>
    </row>
    <row r="81">
      <c r="D81" s="6"/>
      <c r="I81" s="6"/>
    </row>
    <row r="82">
      <c r="D82" s="6"/>
      <c r="I82" s="6"/>
    </row>
    <row r="83">
      <c r="D83" s="6"/>
      <c r="I83" s="6"/>
    </row>
    <row r="84">
      <c r="D84" s="6"/>
      <c r="I84" s="6"/>
    </row>
    <row r="85">
      <c r="D85" s="6"/>
      <c r="I85" s="6"/>
    </row>
    <row r="86">
      <c r="D86" s="6"/>
      <c r="I86" s="6"/>
    </row>
    <row r="87">
      <c r="D87" s="6"/>
      <c r="I87" s="6"/>
    </row>
    <row r="88">
      <c r="D88" s="6"/>
      <c r="I88" s="6"/>
    </row>
    <row r="89">
      <c r="D89" s="6"/>
      <c r="I89" s="6"/>
    </row>
    <row r="90">
      <c r="D90" s="6"/>
      <c r="I90" s="6"/>
    </row>
    <row r="91">
      <c r="D91" s="6"/>
      <c r="I91" s="6"/>
    </row>
    <row r="92">
      <c r="D92" s="6"/>
      <c r="I92" s="6"/>
    </row>
    <row r="93">
      <c r="D93" s="6"/>
      <c r="I93" s="6"/>
    </row>
    <row r="94">
      <c r="D94" s="6"/>
      <c r="I94" s="6"/>
    </row>
    <row r="95">
      <c r="D95" s="6"/>
      <c r="I95" s="6"/>
    </row>
    <row r="96">
      <c r="D96" s="6"/>
      <c r="I96" s="6"/>
    </row>
    <row r="97">
      <c r="D97" s="6"/>
      <c r="I97" s="6"/>
    </row>
    <row r="98">
      <c r="D98" s="6"/>
      <c r="I98" s="6"/>
    </row>
    <row r="99">
      <c r="D99" s="6"/>
      <c r="I99" s="6"/>
    </row>
    <row r="100">
      <c r="D100" s="6"/>
      <c r="I100" s="6"/>
    </row>
    <row r="101">
      <c r="D101" s="6"/>
      <c r="I101" s="6"/>
    </row>
    <row r="102">
      <c r="D102" s="6"/>
      <c r="I102" s="6"/>
    </row>
    <row r="103">
      <c r="D103" s="6"/>
      <c r="I103" s="6"/>
    </row>
    <row r="104">
      <c r="D104" s="6"/>
      <c r="I104" s="6"/>
    </row>
    <row r="105">
      <c r="D105" s="6"/>
      <c r="I105" s="6"/>
    </row>
    <row r="106">
      <c r="D106" s="6"/>
      <c r="I106" s="6"/>
    </row>
    <row r="107">
      <c r="D107" s="6"/>
      <c r="I107" s="6"/>
    </row>
    <row r="108">
      <c r="D108" s="6"/>
      <c r="I108" s="6"/>
    </row>
    <row r="109">
      <c r="D109" s="6"/>
      <c r="I109" s="6"/>
    </row>
    <row r="110">
      <c r="D110" s="6"/>
      <c r="I110" s="6"/>
    </row>
    <row r="111">
      <c r="D111" s="6"/>
      <c r="I111" s="6"/>
    </row>
    <row r="112">
      <c r="D112" s="6"/>
      <c r="I112" s="6"/>
    </row>
    <row r="113">
      <c r="D113" s="6"/>
      <c r="I113" s="6"/>
    </row>
    <row r="114">
      <c r="D114" s="6"/>
      <c r="I114" s="6"/>
    </row>
    <row r="115">
      <c r="D115" s="6"/>
      <c r="I115" s="6"/>
    </row>
    <row r="116">
      <c r="D116" s="6"/>
      <c r="I116" s="6"/>
    </row>
    <row r="117">
      <c r="D117" s="6"/>
      <c r="I117" s="6"/>
    </row>
    <row r="118">
      <c r="D118" s="6"/>
      <c r="I118" s="6"/>
    </row>
    <row r="119">
      <c r="D119" s="6"/>
      <c r="I119" s="6"/>
    </row>
    <row r="120">
      <c r="D120" s="6"/>
      <c r="I120" s="6"/>
    </row>
    <row r="121">
      <c r="D121" s="6"/>
      <c r="I121" s="6"/>
    </row>
    <row r="122">
      <c r="D122" s="6"/>
      <c r="I122" s="6"/>
    </row>
    <row r="123">
      <c r="D123" s="6"/>
      <c r="I123" s="6"/>
    </row>
    <row r="124">
      <c r="D124" s="6"/>
      <c r="I124" s="6"/>
    </row>
    <row r="125">
      <c r="D125" s="6"/>
      <c r="I125" s="6"/>
    </row>
    <row r="126">
      <c r="D126" s="6"/>
      <c r="I126" s="6"/>
    </row>
    <row r="127">
      <c r="D127" s="6"/>
      <c r="I127" s="6"/>
    </row>
    <row r="128">
      <c r="D128" s="6"/>
      <c r="I128" s="6"/>
    </row>
    <row r="129">
      <c r="D129" s="6"/>
      <c r="I129" s="6"/>
    </row>
    <row r="130">
      <c r="D130" s="6"/>
      <c r="I130" s="6"/>
    </row>
    <row r="131">
      <c r="D131" s="6"/>
      <c r="I131" s="6"/>
    </row>
    <row r="132">
      <c r="D132" s="6"/>
      <c r="I132" s="6"/>
    </row>
    <row r="133">
      <c r="D133" s="6"/>
      <c r="I133" s="6"/>
    </row>
    <row r="134">
      <c r="D134" s="6"/>
      <c r="I134" s="6"/>
    </row>
    <row r="135">
      <c r="D135" s="6"/>
      <c r="I135" s="6"/>
    </row>
    <row r="136">
      <c r="D136" s="6"/>
      <c r="I136" s="6"/>
    </row>
    <row r="137">
      <c r="D137" s="6"/>
      <c r="I137" s="6"/>
    </row>
    <row r="138">
      <c r="D138" s="6"/>
      <c r="I138" s="6"/>
    </row>
    <row r="139">
      <c r="D139" s="6"/>
      <c r="I139" s="6"/>
    </row>
    <row r="140">
      <c r="D140" s="6"/>
      <c r="I140" s="6"/>
    </row>
    <row r="141">
      <c r="D141" s="6"/>
      <c r="I141" s="6"/>
    </row>
    <row r="142">
      <c r="D142" s="6"/>
      <c r="I142" s="6"/>
    </row>
    <row r="143">
      <c r="D143" s="6"/>
      <c r="I143" s="6"/>
    </row>
    <row r="144">
      <c r="D144" s="6"/>
      <c r="I144" s="6"/>
    </row>
    <row r="145">
      <c r="D145" s="6"/>
      <c r="I145" s="6"/>
    </row>
    <row r="146">
      <c r="D146" s="6"/>
      <c r="I146" s="6"/>
    </row>
    <row r="147">
      <c r="D147" s="6"/>
      <c r="I147" s="6"/>
    </row>
    <row r="148">
      <c r="D148" s="6"/>
      <c r="I148" s="6"/>
    </row>
    <row r="149">
      <c r="D149" s="6"/>
      <c r="I149" s="6"/>
    </row>
    <row r="150">
      <c r="D150" s="6"/>
      <c r="I150" s="6"/>
    </row>
    <row r="151">
      <c r="D151" s="6"/>
      <c r="I151" s="6"/>
    </row>
    <row r="152">
      <c r="D152" s="6"/>
      <c r="I152" s="6"/>
    </row>
    <row r="153">
      <c r="D153" s="6"/>
      <c r="I153" s="6"/>
    </row>
    <row r="154">
      <c r="D154" s="6"/>
      <c r="I154" s="6"/>
    </row>
    <row r="155">
      <c r="D155" s="6"/>
      <c r="I155" s="6"/>
    </row>
    <row r="156">
      <c r="D156" s="6"/>
      <c r="I156" s="6"/>
    </row>
    <row r="157">
      <c r="D157" s="6"/>
      <c r="I157" s="6"/>
    </row>
    <row r="158">
      <c r="D158" s="6"/>
      <c r="I158" s="6"/>
    </row>
    <row r="159">
      <c r="D159" s="6"/>
      <c r="I159" s="6"/>
    </row>
    <row r="160">
      <c r="D160" s="6"/>
      <c r="I160" s="6"/>
    </row>
    <row r="161">
      <c r="D161" s="6"/>
      <c r="I161" s="6"/>
    </row>
    <row r="162">
      <c r="D162" s="6"/>
      <c r="I162" s="6"/>
    </row>
    <row r="163">
      <c r="D163" s="6"/>
      <c r="I163" s="6"/>
    </row>
    <row r="164">
      <c r="D164" s="6"/>
      <c r="I164" s="6"/>
    </row>
    <row r="165">
      <c r="D165" s="6"/>
      <c r="I165" s="6"/>
    </row>
    <row r="166">
      <c r="D166" s="6"/>
      <c r="I166" s="6"/>
    </row>
    <row r="167">
      <c r="D167" s="6"/>
      <c r="I167" s="6"/>
    </row>
    <row r="168">
      <c r="D168" s="6"/>
      <c r="I168" s="6"/>
    </row>
    <row r="169">
      <c r="D169" s="6"/>
      <c r="I169" s="6"/>
    </row>
    <row r="170">
      <c r="D170" s="6"/>
      <c r="I170" s="6"/>
    </row>
    <row r="171">
      <c r="D171" s="6"/>
      <c r="I171" s="6"/>
    </row>
    <row r="172">
      <c r="D172" s="6"/>
      <c r="I172" s="6"/>
    </row>
    <row r="173">
      <c r="D173" s="6"/>
      <c r="I173" s="6"/>
    </row>
    <row r="174">
      <c r="D174" s="6"/>
      <c r="I174" s="6"/>
    </row>
    <row r="175">
      <c r="D175" s="6"/>
      <c r="I175" s="6"/>
    </row>
    <row r="176">
      <c r="D176" s="6"/>
      <c r="I176" s="6"/>
    </row>
    <row r="177">
      <c r="D177" s="6"/>
      <c r="I177" s="6"/>
    </row>
    <row r="178">
      <c r="D178" s="6"/>
      <c r="I178" s="6"/>
    </row>
    <row r="179">
      <c r="D179" s="6"/>
      <c r="I179" s="6"/>
    </row>
    <row r="180">
      <c r="D180" s="6"/>
      <c r="I180" s="6"/>
    </row>
    <row r="181">
      <c r="D181" s="6"/>
      <c r="I181" s="6"/>
    </row>
    <row r="182">
      <c r="D182" s="6"/>
      <c r="I182" s="6"/>
    </row>
    <row r="183">
      <c r="D183" s="6"/>
      <c r="I183" s="6"/>
    </row>
    <row r="184">
      <c r="D184" s="6"/>
      <c r="I184" s="6"/>
    </row>
    <row r="185">
      <c r="D185" s="6"/>
      <c r="I185" s="6"/>
    </row>
    <row r="186">
      <c r="D186" s="6"/>
      <c r="I186" s="6"/>
    </row>
    <row r="187">
      <c r="D187" s="6"/>
      <c r="I187" s="6"/>
    </row>
    <row r="188">
      <c r="D188" s="6"/>
      <c r="I188" s="6"/>
    </row>
    <row r="189">
      <c r="D189" s="6"/>
      <c r="I189" s="6"/>
    </row>
    <row r="190">
      <c r="D190" s="6"/>
      <c r="I190" s="6"/>
    </row>
    <row r="191">
      <c r="D191" s="6"/>
      <c r="I191" s="6"/>
    </row>
    <row r="192">
      <c r="D192" s="6"/>
      <c r="I192" s="6"/>
    </row>
    <row r="193">
      <c r="D193" s="6"/>
      <c r="I193" s="6"/>
    </row>
    <row r="194">
      <c r="D194" s="6"/>
      <c r="I194" s="6"/>
    </row>
    <row r="195">
      <c r="D195" s="6"/>
      <c r="I195" s="6"/>
    </row>
    <row r="196">
      <c r="D196" s="6"/>
      <c r="I196" s="6"/>
    </row>
    <row r="197">
      <c r="D197" s="6"/>
      <c r="I197" s="6"/>
    </row>
    <row r="198">
      <c r="D198" s="6"/>
      <c r="I198" s="6"/>
    </row>
    <row r="199">
      <c r="D199" s="6"/>
      <c r="I199" s="6"/>
    </row>
    <row r="200">
      <c r="D200" s="6"/>
      <c r="I200" s="6"/>
    </row>
    <row r="201">
      <c r="D201" s="6"/>
      <c r="I201" s="6"/>
    </row>
    <row r="202">
      <c r="D202" s="6"/>
      <c r="I202" s="6"/>
    </row>
    <row r="203">
      <c r="D203" s="6"/>
      <c r="I203" s="6"/>
    </row>
    <row r="204">
      <c r="D204" s="6"/>
      <c r="I204" s="6"/>
    </row>
    <row r="205">
      <c r="D205" s="6"/>
      <c r="I205" s="6"/>
    </row>
    <row r="206">
      <c r="D206" s="6"/>
      <c r="I206" s="6"/>
    </row>
    <row r="207">
      <c r="D207" s="6"/>
      <c r="I207" s="6"/>
    </row>
    <row r="208">
      <c r="D208" s="6"/>
      <c r="I208" s="6"/>
    </row>
    <row r="209">
      <c r="D209" s="6"/>
      <c r="I209" s="6"/>
    </row>
    <row r="210">
      <c r="D210" s="6"/>
      <c r="I210" s="6"/>
    </row>
    <row r="211">
      <c r="D211" s="6"/>
      <c r="I211" s="6"/>
    </row>
    <row r="212">
      <c r="D212" s="6"/>
      <c r="I212" s="6"/>
    </row>
    <row r="213">
      <c r="D213" s="6"/>
      <c r="I213" s="6"/>
    </row>
    <row r="214">
      <c r="D214" s="6"/>
      <c r="I214" s="6"/>
    </row>
    <row r="215">
      <c r="D215" s="6"/>
      <c r="I215" s="6"/>
    </row>
    <row r="216">
      <c r="D216" s="6"/>
      <c r="I216" s="6"/>
    </row>
    <row r="217">
      <c r="D217" s="6"/>
      <c r="I217" s="6"/>
    </row>
    <row r="218">
      <c r="D218" s="6"/>
      <c r="I218" s="6"/>
    </row>
    <row r="219">
      <c r="D219" s="6"/>
      <c r="I219" s="6"/>
    </row>
    <row r="220">
      <c r="D220" s="6"/>
      <c r="I220" s="6"/>
    </row>
    <row r="221">
      <c r="D221" s="6"/>
      <c r="I221" s="6"/>
    </row>
    <row r="222">
      <c r="D222" s="6"/>
      <c r="I222" s="6"/>
    </row>
    <row r="223">
      <c r="D223" s="6"/>
      <c r="I223" s="6"/>
    </row>
    <row r="224">
      <c r="D224" s="6"/>
      <c r="I224" s="6"/>
    </row>
    <row r="225">
      <c r="D225" s="6"/>
      <c r="I225" s="6"/>
    </row>
    <row r="226">
      <c r="D226" s="6"/>
      <c r="I226" s="6"/>
    </row>
    <row r="227">
      <c r="D227" s="6"/>
      <c r="I227" s="6"/>
    </row>
    <row r="228">
      <c r="D228" s="6"/>
      <c r="I228" s="6"/>
    </row>
    <row r="229">
      <c r="D229" s="6"/>
      <c r="I229" s="6"/>
    </row>
    <row r="230">
      <c r="D230" s="6"/>
      <c r="I230" s="6"/>
    </row>
    <row r="231">
      <c r="D231" s="6"/>
      <c r="I231" s="6"/>
    </row>
    <row r="232">
      <c r="D232" s="6"/>
      <c r="I232" s="6"/>
    </row>
    <row r="233">
      <c r="D233" s="6"/>
      <c r="I233" s="6"/>
    </row>
    <row r="234">
      <c r="D234" s="6"/>
      <c r="I234" s="6"/>
    </row>
    <row r="235">
      <c r="D235" s="6"/>
      <c r="I235" s="6"/>
    </row>
    <row r="236">
      <c r="D236" s="6"/>
      <c r="I236" s="6"/>
    </row>
    <row r="237">
      <c r="D237" s="6"/>
      <c r="I237" s="6"/>
    </row>
    <row r="238">
      <c r="D238" s="6"/>
      <c r="I238" s="6"/>
    </row>
    <row r="239">
      <c r="D239" s="6"/>
      <c r="I239" s="6"/>
    </row>
    <row r="240">
      <c r="D240" s="6"/>
      <c r="I240" s="6"/>
    </row>
    <row r="241">
      <c r="D241" s="6"/>
      <c r="I241" s="6"/>
    </row>
    <row r="242">
      <c r="D242" s="6"/>
      <c r="I242" s="6"/>
    </row>
    <row r="243">
      <c r="D243" s="6"/>
      <c r="I243" s="6"/>
    </row>
    <row r="244">
      <c r="D244" s="6"/>
      <c r="I244" s="6"/>
    </row>
    <row r="245">
      <c r="D245" s="6"/>
      <c r="I245" s="6"/>
    </row>
    <row r="246">
      <c r="D246" s="6"/>
      <c r="I246" s="6"/>
    </row>
    <row r="247">
      <c r="D247" s="6"/>
      <c r="I247" s="6"/>
    </row>
    <row r="248">
      <c r="D248" s="6"/>
      <c r="I248" s="6"/>
    </row>
    <row r="249">
      <c r="D249" s="6"/>
      <c r="I249" s="6"/>
    </row>
    <row r="250">
      <c r="D250" s="6"/>
      <c r="I250" s="6"/>
    </row>
    <row r="251">
      <c r="D251" s="6"/>
      <c r="I251" s="6"/>
    </row>
    <row r="252">
      <c r="D252" s="6"/>
      <c r="I252" s="6"/>
    </row>
    <row r="253">
      <c r="D253" s="6"/>
      <c r="I253" s="6"/>
    </row>
    <row r="254">
      <c r="D254" s="6"/>
      <c r="I254" s="6"/>
    </row>
    <row r="255">
      <c r="D255" s="6"/>
      <c r="I255" s="6"/>
    </row>
    <row r="256">
      <c r="D256" s="6"/>
      <c r="I256" s="6"/>
    </row>
    <row r="257">
      <c r="D257" s="6"/>
      <c r="I257" s="6"/>
    </row>
    <row r="258">
      <c r="D258" s="6"/>
      <c r="I258" s="6"/>
    </row>
    <row r="259">
      <c r="D259" s="6"/>
      <c r="I259" s="6"/>
    </row>
    <row r="260">
      <c r="D260" s="6"/>
      <c r="I260" s="6"/>
    </row>
    <row r="261">
      <c r="D261" s="6"/>
      <c r="I261" s="6"/>
    </row>
    <row r="262">
      <c r="D262" s="6"/>
      <c r="I262" s="6"/>
    </row>
    <row r="263">
      <c r="D263" s="6"/>
      <c r="I263" s="6"/>
    </row>
    <row r="264">
      <c r="D264" s="6"/>
      <c r="I264" s="6"/>
    </row>
    <row r="265">
      <c r="D265" s="6"/>
      <c r="I265" s="6"/>
    </row>
    <row r="266">
      <c r="D266" s="6"/>
      <c r="I266" s="6"/>
    </row>
    <row r="267">
      <c r="D267" s="6"/>
      <c r="I267" s="6"/>
    </row>
    <row r="268">
      <c r="D268" s="6"/>
      <c r="I268" s="6"/>
    </row>
    <row r="269">
      <c r="D269" s="6"/>
      <c r="I269" s="6"/>
    </row>
    <row r="270">
      <c r="D270" s="6"/>
      <c r="I270" s="6"/>
    </row>
    <row r="271">
      <c r="D271" s="6"/>
      <c r="I271" s="6"/>
    </row>
    <row r="272">
      <c r="D272" s="6"/>
      <c r="I272" s="6"/>
    </row>
    <row r="273">
      <c r="D273" s="6"/>
      <c r="I273" s="6"/>
    </row>
    <row r="274">
      <c r="D274" s="6"/>
      <c r="I274" s="6"/>
    </row>
    <row r="275">
      <c r="D275" s="6"/>
      <c r="I275" s="6"/>
    </row>
    <row r="276">
      <c r="D276" s="6"/>
      <c r="I276" s="6"/>
    </row>
    <row r="277">
      <c r="D277" s="6"/>
      <c r="I277" s="6"/>
    </row>
    <row r="278">
      <c r="D278" s="6"/>
      <c r="I278" s="6"/>
    </row>
    <row r="279">
      <c r="D279" s="6"/>
      <c r="I279" s="6"/>
    </row>
    <row r="280">
      <c r="D280" s="6"/>
      <c r="I280" s="6"/>
    </row>
    <row r="281">
      <c r="D281" s="6"/>
      <c r="I281" s="6"/>
    </row>
    <row r="282">
      <c r="D282" s="6"/>
      <c r="I282" s="6"/>
    </row>
    <row r="283">
      <c r="D283" s="6"/>
      <c r="I283" s="6"/>
    </row>
    <row r="284">
      <c r="D284" s="6"/>
      <c r="I284" s="6"/>
    </row>
    <row r="285">
      <c r="D285" s="6"/>
      <c r="I285" s="6"/>
    </row>
    <row r="286">
      <c r="D286" s="6"/>
      <c r="I286" s="6"/>
    </row>
    <row r="287">
      <c r="D287" s="6"/>
      <c r="I287" s="6"/>
    </row>
    <row r="288">
      <c r="D288" s="6"/>
      <c r="I288" s="6"/>
    </row>
    <row r="289">
      <c r="D289" s="6"/>
      <c r="I289" s="6"/>
    </row>
    <row r="290">
      <c r="D290" s="6"/>
      <c r="I290" s="6"/>
    </row>
    <row r="291">
      <c r="D291" s="6"/>
      <c r="I291" s="6"/>
    </row>
    <row r="292">
      <c r="D292" s="6"/>
      <c r="I292" s="6"/>
    </row>
    <row r="293">
      <c r="D293" s="6"/>
      <c r="I293" s="6"/>
    </row>
    <row r="294">
      <c r="D294" s="6"/>
      <c r="I294" s="6"/>
    </row>
    <row r="295">
      <c r="D295" s="6"/>
      <c r="I295" s="6"/>
    </row>
    <row r="296">
      <c r="D296" s="6"/>
      <c r="I296" s="6"/>
    </row>
    <row r="297">
      <c r="D297" s="6"/>
      <c r="I297" s="6"/>
    </row>
    <row r="298">
      <c r="D298" s="6"/>
      <c r="I298" s="6"/>
    </row>
    <row r="299">
      <c r="D299" s="6"/>
      <c r="I299" s="6"/>
    </row>
    <row r="300">
      <c r="D300" s="6"/>
      <c r="I300" s="6"/>
    </row>
    <row r="301">
      <c r="D301" s="6"/>
      <c r="I301" s="6"/>
    </row>
    <row r="302">
      <c r="D302" s="6"/>
      <c r="I302" s="6"/>
    </row>
    <row r="303">
      <c r="D303" s="6"/>
      <c r="I303" s="6"/>
    </row>
    <row r="304">
      <c r="D304" s="6"/>
      <c r="I304" s="6"/>
    </row>
    <row r="305">
      <c r="D305" s="6"/>
      <c r="I305" s="6"/>
    </row>
    <row r="306">
      <c r="D306" s="6"/>
      <c r="I306" s="6"/>
    </row>
    <row r="307">
      <c r="D307" s="6"/>
      <c r="I307" s="6"/>
    </row>
    <row r="308">
      <c r="D308" s="6"/>
      <c r="I308" s="6"/>
    </row>
    <row r="309">
      <c r="D309" s="6"/>
      <c r="I309" s="6"/>
    </row>
    <row r="310">
      <c r="D310" s="6"/>
      <c r="I310" s="6"/>
    </row>
    <row r="311">
      <c r="D311" s="6"/>
      <c r="I311" s="6"/>
    </row>
    <row r="312">
      <c r="D312" s="6"/>
      <c r="I312" s="6"/>
    </row>
    <row r="313">
      <c r="D313" s="6"/>
      <c r="I313" s="6"/>
    </row>
    <row r="314">
      <c r="D314" s="6"/>
      <c r="I314" s="6"/>
    </row>
    <row r="315">
      <c r="D315" s="6"/>
      <c r="I315" s="6"/>
    </row>
    <row r="316">
      <c r="D316" s="6"/>
      <c r="I316" s="6"/>
    </row>
    <row r="317">
      <c r="D317" s="6"/>
      <c r="I317" s="6"/>
    </row>
    <row r="318">
      <c r="D318" s="6"/>
      <c r="I318" s="6"/>
    </row>
    <row r="319">
      <c r="D319" s="6"/>
      <c r="I319" s="6"/>
    </row>
    <row r="320">
      <c r="D320" s="6"/>
      <c r="I320" s="6"/>
    </row>
    <row r="321">
      <c r="D321" s="6"/>
      <c r="I321" s="6"/>
    </row>
    <row r="322">
      <c r="D322" s="6"/>
      <c r="I322" s="6"/>
    </row>
    <row r="323">
      <c r="D323" s="6"/>
      <c r="I323" s="6"/>
    </row>
    <row r="324">
      <c r="D324" s="6"/>
      <c r="I324" s="6"/>
    </row>
    <row r="325">
      <c r="D325" s="6"/>
      <c r="I325" s="6"/>
    </row>
    <row r="326">
      <c r="D326" s="6"/>
      <c r="I326" s="6"/>
    </row>
    <row r="327">
      <c r="D327" s="6"/>
      <c r="I327" s="6"/>
    </row>
    <row r="328">
      <c r="D328" s="6"/>
      <c r="I328" s="6"/>
    </row>
    <row r="329">
      <c r="D329" s="6"/>
      <c r="I329" s="6"/>
    </row>
    <row r="330">
      <c r="D330" s="6"/>
      <c r="I330" s="6"/>
    </row>
    <row r="331">
      <c r="D331" s="6"/>
      <c r="I331" s="6"/>
    </row>
    <row r="332">
      <c r="D332" s="6"/>
      <c r="I332" s="6"/>
    </row>
    <row r="333">
      <c r="D333" s="6"/>
      <c r="I333" s="6"/>
    </row>
    <row r="334">
      <c r="D334" s="6"/>
      <c r="I334" s="6"/>
    </row>
    <row r="335">
      <c r="D335" s="6"/>
      <c r="I335" s="6"/>
    </row>
    <row r="336">
      <c r="D336" s="6"/>
      <c r="I336" s="6"/>
    </row>
    <row r="337">
      <c r="D337" s="6"/>
      <c r="I337" s="6"/>
    </row>
    <row r="338">
      <c r="D338" s="6"/>
      <c r="I338" s="6"/>
    </row>
    <row r="339">
      <c r="D339" s="6"/>
      <c r="I339" s="6"/>
    </row>
    <row r="340">
      <c r="D340" s="6"/>
      <c r="I340" s="6"/>
    </row>
    <row r="341">
      <c r="D341" s="6"/>
      <c r="I341" s="6"/>
    </row>
    <row r="342">
      <c r="D342" s="6"/>
      <c r="I342" s="6"/>
    </row>
    <row r="343">
      <c r="D343" s="6"/>
      <c r="I343" s="6"/>
    </row>
    <row r="344">
      <c r="D344" s="6"/>
      <c r="I344" s="6"/>
    </row>
    <row r="345">
      <c r="D345" s="6"/>
      <c r="I345" s="6"/>
    </row>
    <row r="346">
      <c r="D346" s="6"/>
      <c r="I346" s="6"/>
    </row>
    <row r="347">
      <c r="D347" s="6"/>
      <c r="I347" s="6"/>
    </row>
    <row r="348">
      <c r="D348" s="6"/>
      <c r="I348" s="6"/>
    </row>
    <row r="349">
      <c r="D349" s="6"/>
      <c r="I349" s="6"/>
    </row>
    <row r="350">
      <c r="D350" s="6"/>
      <c r="I350" s="6"/>
    </row>
    <row r="351">
      <c r="D351" s="6"/>
      <c r="I351" s="6"/>
    </row>
    <row r="352">
      <c r="D352" s="6"/>
      <c r="I352" s="6"/>
    </row>
    <row r="353">
      <c r="D353" s="6"/>
      <c r="I353" s="6"/>
    </row>
    <row r="354">
      <c r="D354" s="6"/>
      <c r="I354" s="6"/>
    </row>
    <row r="355">
      <c r="D355" s="6"/>
      <c r="I355" s="6"/>
    </row>
    <row r="356">
      <c r="D356" s="6"/>
      <c r="I356" s="6"/>
    </row>
    <row r="357">
      <c r="D357" s="6"/>
      <c r="I357" s="6"/>
    </row>
    <row r="358">
      <c r="D358" s="6"/>
      <c r="I358" s="6"/>
    </row>
    <row r="359">
      <c r="D359" s="6"/>
      <c r="I359" s="6"/>
    </row>
    <row r="360">
      <c r="D360" s="6"/>
      <c r="I360" s="6"/>
    </row>
    <row r="361">
      <c r="D361" s="6"/>
      <c r="I361" s="6"/>
    </row>
    <row r="362">
      <c r="D362" s="6"/>
      <c r="I362" s="6"/>
    </row>
    <row r="363">
      <c r="D363" s="6"/>
      <c r="I363" s="6"/>
    </row>
    <row r="364">
      <c r="D364" s="6"/>
      <c r="I364" s="6"/>
    </row>
    <row r="365">
      <c r="D365" s="6"/>
      <c r="I365" s="6"/>
    </row>
    <row r="366">
      <c r="D366" s="6"/>
      <c r="I366" s="6"/>
    </row>
    <row r="367">
      <c r="D367" s="6"/>
      <c r="I367" s="6"/>
    </row>
    <row r="368">
      <c r="D368" s="6"/>
      <c r="I368" s="6"/>
    </row>
    <row r="369">
      <c r="D369" s="6"/>
      <c r="I369" s="6"/>
    </row>
    <row r="370">
      <c r="D370" s="6"/>
      <c r="I370" s="6"/>
    </row>
    <row r="371">
      <c r="D371" s="6"/>
      <c r="I371" s="6"/>
    </row>
    <row r="372">
      <c r="D372" s="6"/>
      <c r="I372" s="6"/>
    </row>
    <row r="373">
      <c r="D373" s="6"/>
      <c r="I373" s="6"/>
    </row>
    <row r="374">
      <c r="D374" s="6"/>
      <c r="I374" s="6"/>
    </row>
    <row r="375">
      <c r="D375" s="6"/>
      <c r="I375" s="6"/>
    </row>
    <row r="376">
      <c r="D376" s="6"/>
      <c r="I376" s="6"/>
    </row>
    <row r="377">
      <c r="D377" s="6"/>
      <c r="I377" s="6"/>
    </row>
    <row r="378">
      <c r="D378" s="6"/>
      <c r="I378" s="6"/>
    </row>
    <row r="379">
      <c r="D379" s="6"/>
      <c r="I379" s="6"/>
    </row>
    <row r="380">
      <c r="D380" s="6"/>
      <c r="I380" s="6"/>
    </row>
    <row r="381">
      <c r="D381" s="6"/>
      <c r="I381" s="6"/>
    </row>
    <row r="382">
      <c r="D382" s="6"/>
      <c r="I382" s="6"/>
    </row>
    <row r="383">
      <c r="D383" s="6"/>
      <c r="I383" s="6"/>
    </row>
    <row r="384">
      <c r="D384" s="6"/>
      <c r="I384" s="6"/>
    </row>
    <row r="385">
      <c r="D385" s="6"/>
      <c r="I385" s="6"/>
    </row>
    <row r="386">
      <c r="D386" s="6"/>
      <c r="I386" s="6"/>
    </row>
    <row r="387">
      <c r="D387" s="6"/>
      <c r="I387" s="6"/>
    </row>
    <row r="388">
      <c r="D388" s="6"/>
      <c r="I388" s="6"/>
    </row>
    <row r="389">
      <c r="D389" s="6"/>
      <c r="I389" s="6"/>
    </row>
    <row r="390">
      <c r="D390" s="6"/>
      <c r="I390" s="6"/>
    </row>
    <row r="391">
      <c r="D391" s="6"/>
      <c r="I391" s="6"/>
    </row>
    <row r="392">
      <c r="D392" s="6"/>
      <c r="I392" s="6"/>
    </row>
    <row r="393">
      <c r="D393" s="6"/>
      <c r="I393" s="6"/>
    </row>
    <row r="394">
      <c r="D394" s="6"/>
      <c r="I394" s="6"/>
    </row>
    <row r="395">
      <c r="D395" s="6"/>
      <c r="I395" s="6"/>
    </row>
    <row r="396">
      <c r="D396" s="6"/>
      <c r="I396" s="6"/>
    </row>
    <row r="397">
      <c r="D397" s="6"/>
      <c r="I397" s="6"/>
    </row>
    <row r="398">
      <c r="D398" s="6"/>
      <c r="I398" s="6"/>
    </row>
    <row r="399">
      <c r="D399" s="6"/>
      <c r="I399" s="6"/>
    </row>
    <row r="400">
      <c r="D400" s="6"/>
      <c r="I400" s="6"/>
    </row>
    <row r="401">
      <c r="D401" s="6"/>
      <c r="I401" s="6"/>
    </row>
    <row r="402">
      <c r="D402" s="6"/>
      <c r="I402" s="6"/>
    </row>
    <row r="403">
      <c r="D403" s="6"/>
      <c r="I403" s="6"/>
    </row>
    <row r="404">
      <c r="D404" s="6"/>
      <c r="I404" s="6"/>
    </row>
    <row r="405">
      <c r="D405" s="6"/>
      <c r="I405" s="6"/>
    </row>
    <row r="406">
      <c r="D406" s="6"/>
      <c r="I406" s="6"/>
    </row>
    <row r="407">
      <c r="D407" s="6"/>
      <c r="I407" s="6"/>
    </row>
    <row r="408">
      <c r="D408" s="6"/>
      <c r="I408" s="6"/>
    </row>
    <row r="409">
      <c r="D409" s="6"/>
      <c r="I409" s="6"/>
    </row>
    <row r="410">
      <c r="D410" s="6"/>
      <c r="I410" s="6"/>
    </row>
    <row r="411">
      <c r="D411" s="6"/>
      <c r="I411" s="6"/>
    </row>
    <row r="412">
      <c r="D412" s="6"/>
      <c r="I412" s="6"/>
    </row>
    <row r="413">
      <c r="D413" s="6"/>
      <c r="I413" s="6"/>
    </row>
    <row r="414">
      <c r="D414" s="6"/>
      <c r="I414" s="6"/>
    </row>
    <row r="415">
      <c r="D415" s="6"/>
      <c r="I415" s="6"/>
    </row>
    <row r="416">
      <c r="D416" s="6"/>
      <c r="I416" s="6"/>
    </row>
    <row r="417">
      <c r="D417" s="6"/>
      <c r="I417" s="6"/>
    </row>
    <row r="418">
      <c r="D418" s="6"/>
      <c r="I418" s="6"/>
    </row>
    <row r="419">
      <c r="D419" s="6"/>
      <c r="I419" s="6"/>
    </row>
    <row r="420">
      <c r="D420" s="6"/>
      <c r="I420" s="6"/>
    </row>
    <row r="421">
      <c r="D421" s="6"/>
      <c r="I421" s="6"/>
    </row>
    <row r="422">
      <c r="D422" s="6"/>
      <c r="I422" s="6"/>
    </row>
    <row r="423">
      <c r="D423" s="6"/>
      <c r="I423" s="6"/>
    </row>
    <row r="424">
      <c r="D424" s="6"/>
      <c r="I424" s="6"/>
    </row>
    <row r="425">
      <c r="D425" s="6"/>
      <c r="I425" s="6"/>
    </row>
    <row r="426">
      <c r="D426" s="6"/>
      <c r="I426" s="6"/>
    </row>
    <row r="427">
      <c r="D427" s="6"/>
      <c r="I427" s="6"/>
    </row>
    <row r="428">
      <c r="D428" s="6"/>
      <c r="I428" s="6"/>
    </row>
    <row r="429">
      <c r="D429" s="6"/>
      <c r="I429" s="6"/>
    </row>
    <row r="430">
      <c r="D430" s="6"/>
      <c r="I430" s="6"/>
    </row>
    <row r="431">
      <c r="D431" s="6"/>
      <c r="I431" s="6"/>
    </row>
    <row r="432">
      <c r="D432" s="6"/>
      <c r="I432" s="6"/>
    </row>
    <row r="433">
      <c r="D433" s="6"/>
      <c r="I433" s="6"/>
    </row>
    <row r="434">
      <c r="D434" s="6"/>
      <c r="I434" s="6"/>
    </row>
    <row r="435">
      <c r="D435" s="6"/>
      <c r="I435" s="6"/>
    </row>
    <row r="436">
      <c r="D436" s="6"/>
      <c r="I436" s="6"/>
    </row>
    <row r="437">
      <c r="D437" s="6"/>
      <c r="I437" s="6"/>
    </row>
    <row r="438">
      <c r="D438" s="6"/>
      <c r="I438" s="6"/>
    </row>
    <row r="439">
      <c r="D439" s="6"/>
      <c r="I439" s="6"/>
    </row>
    <row r="440">
      <c r="D440" s="6"/>
      <c r="I440" s="6"/>
    </row>
    <row r="441">
      <c r="D441" s="6"/>
      <c r="I441" s="6"/>
    </row>
    <row r="442">
      <c r="D442" s="6"/>
      <c r="I442" s="6"/>
    </row>
    <row r="443">
      <c r="D443" s="6"/>
      <c r="I443" s="6"/>
    </row>
    <row r="444">
      <c r="D444" s="6"/>
      <c r="I444" s="6"/>
    </row>
    <row r="445">
      <c r="D445" s="6"/>
      <c r="I445" s="6"/>
    </row>
    <row r="446">
      <c r="D446" s="6"/>
      <c r="I446" s="6"/>
    </row>
    <row r="447">
      <c r="D447" s="6"/>
      <c r="I447" s="6"/>
    </row>
    <row r="448">
      <c r="D448" s="6"/>
      <c r="I448" s="6"/>
    </row>
    <row r="449">
      <c r="D449" s="6"/>
      <c r="I449" s="6"/>
    </row>
    <row r="450">
      <c r="D450" s="6"/>
      <c r="I450" s="6"/>
    </row>
    <row r="451">
      <c r="D451" s="6"/>
      <c r="I451" s="6"/>
    </row>
    <row r="452">
      <c r="D452" s="6"/>
      <c r="I452" s="6"/>
    </row>
    <row r="453">
      <c r="D453" s="6"/>
      <c r="I453" s="6"/>
    </row>
    <row r="454">
      <c r="D454" s="6"/>
      <c r="I454" s="6"/>
    </row>
    <row r="455">
      <c r="D455" s="6"/>
      <c r="I455" s="6"/>
    </row>
    <row r="456">
      <c r="D456" s="6"/>
      <c r="I456" s="6"/>
    </row>
    <row r="457">
      <c r="D457" s="6"/>
      <c r="I457" s="6"/>
    </row>
    <row r="458">
      <c r="D458" s="6"/>
      <c r="I458" s="6"/>
    </row>
    <row r="459">
      <c r="D459" s="6"/>
      <c r="I459" s="6"/>
    </row>
    <row r="460">
      <c r="D460" s="6"/>
      <c r="I460" s="6"/>
    </row>
    <row r="461">
      <c r="D461" s="6"/>
      <c r="I461" s="6"/>
    </row>
    <row r="462">
      <c r="D462" s="6"/>
      <c r="I462" s="6"/>
    </row>
    <row r="463">
      <c r="D463" s="6"/>
      <c r="I463" s="6"/>
    </row>
    <row r="464">
      <c r="D464" s="6"/>
      <c r="I464" s="6"/>
    </row>
    <row r="465">
      <c r="D465" s="6"/>
      <c r="I465" s="6"/>
    </row>
    <row r="466">
      <c r="D466" s="6"/>
      <c r="I466" s="6"/>
    </row>
    <row r="467">
      <c r="D467" s="6"/>
      <c r="I467" s="6"/>
    </row>
    <row r="468">
      <c r="D468" s="6"/>
      <c r="I468" s="6"/>
    </row>
    <row r="469">
      <c r="D469" s="6"/>
      <c r="I469" s="6"/>
    </row>
    <row r="470">
      <c r="D470" s="6"/>
      <c r="I470" s="6"/>
    </row>
    <row r="471">
      <c r="D471" s="6"/>
      <c r="I471" s="6"/>
    </row>
    <row r="472">
      <c r="D472" s="6"/>
      <c r="I472" s="6"/>
    </row>
    <row r="473">
      <c r="D473" s="6"/>
      <c r="I473" s="6"/>
    </row>
    <row r="474">
      <c r="D474" s="6"/>
      <c r="I474" s="6"/>
    </row>
    <row r="475">
      <c r="D475" s="6"/>
      <c r="I475" s="6"/>
    </row>
    <row r="476">
      <c r="D476" s="6"/>
      <c r="I476" s="6"/>
    </row>
    <row r="477">
      <c r="D477" s="6"/>
      <c r="I477" s="6"/>
    </row>
    <row r="478">
      <c r="D478" s="6"/>
      <c r="I478" s="6"/>
    </row>
    <row r="479">
      <c r="D479" s="6"/>
      <c r="I479" s="6"/>
    </row>
    <row r="480">
      <c r="D480" s="6"/>
      <c r="I480" s="6"/>
    </row>
    <row r="481">
      <c r="D481" s="6"/>
      <c r="I481" s="6"/>
    </row>
    <row r="482">
      <c r="D482" s="6"/>
      <c r="I482" s="6"/>
    </row>
    <row r="483">
      <c r="D483" s="6"/>
      <c r="I483" s="6"/>
    </row>
    <row r="484">
      <c r="D484" s="6"/>
      <c r="I484" s="6"/>
    </row>
    <row r="485">
      <c r="D485" s="6"/>
      <c r="I485" s="6"/>
    </row>
    <row r="486">
      <c r="D486" s="6"/>
      <c r="I486" s="6"/>
    </row>
    <row r="487">
      <c r="D487" s="6"/>
      <c r="I487" s="6"/>
    </row>
    <row r="488">
      <c r="D488" s="6"/>
      <c r="I488" s="6"/>
    </row>
    <row r="489">
      <c r="D489" s="6"/>
      <c r="I489" s="6"/>
    </row>
    <row r="490">
      <c r="D490" s="6"/>
      <c r="I490" s="6"/>
    </row>
    <row r="491">
      <c r="D491" s="6"/>
      <c r="I491" s="6"/>
    </row>
    <row r="492">
      <c r="D492" s="6"/>
      <c r="I492" s="6"/>
    </row>
    <row r="493">
      <c r="D493" s="6"/>
      <c r="I493" s="6"/>
    </row>
    <row r="494">
      <c r="D494" s="6"/>
      <c r="I494" s="6"/>
    </row>
    <row r="495">
      <c r="D495" s="6"/>
      <c r="I495" s="6"/>
    </row>
    <row r="496">
      <c r="D496" s="6"/>
      <c r="I496" s="6"/>
    </row>
    <row r="497">
      <c r="D497" s="6"/>
      <c r="I497" s="6"/>
    </row>
    <row r="498">
      <c r="D498" s="6"/>
      <c r="I498" s="6"/>
    </row>
    <row r="499">
      <c r="D499" s="6"/>
      <c r="I499" s="6"/>
    </row>
    <row r="500">
      <c r="D500" s="6"/>
      <c r="I500" s="6"/>
    </row>
    <row r="501">
      <c r="D501" s="6"/>
      <c r="I501" s="6"/>
    </row>
    <row r="502">
      <c r="D502" s="6"/>
      <c r="I502" s="6"/>
    </row>
    <row r="503">
      <c r="D503" s="6"/>
      <c r="I503" s="6"/>
    </row>
    <row r="504">
      <c r="D504" s="6"/>
      <c r="I504" s="6"/>
    </row>
    <row r="505">
      <c r="D505" s="6"/>
      <c r="I505" s="6"/>
    </row>
    <row r="506">
      <c r="D506" s="6"/>
      <c r="I506" s="6"/>
    </row>
    <row r="507">
      <c r="D507" s="6"/>
      <c r="I507" s="6"/>
    </row>
    <row r="508">
      <c r="D508" s="6"/>
      <c r="I508" s="6"/>
    </row>
    <row r="509">
      <c r="D509" s="6"/>
      <c r="I509" s="6"/>
    </row>
    <row r="510">
      <c r="D510" s="6"/>
      <c r="I510" s="6"/>
    </row>
    <row r="511">
      <c r="D511" s="6"/>
      <c r="I511" s="6"/>
    </row>
    <row r="512">
      <c r="D512" s="6"/>
      <c r="I512" s="6"/>
    </row>
    <row r="513">
      <c r="D513" s="6"/>
      <c r="I513" s="6"/>
    </row>
    <row r="514">
      <c r="D514" s="6"/>
      <c r="I514" s="6"/>
    </row>
    <row r="515">
      <c r="D515" s="6"/>
      <c r="I515" s="6"/>
    </row>
    <row r="516">
      <c r="D516" s="6"/>
      <c r="I516" s="6"/>
    </row>
    <row r="517">
      <c r="D517" s="6"/>
      <c r="I517" s="6"/>
    </row>
    <row r="518">
      <c r="D518" s="6"/>
      <c r="I518" s="6"/>
    </row>
    <row r="519">
      <c r="D519" s="6"/>
      <c r="I519" s="6"/>
    </row>
    <row r="520">
      <c r="D520" s="6"/>
      <c r="I520" s="6"/>
    </row>
    <row r="521">
      <c r="D521" s="6"/>
      <c r="I521" s="6"/>
    </row>
    <row r="522">
      <c r="D522" s="6"/>
      <c r="I522" s="6"/>
    </row>
    <row r="523">
      <c r="D523" s="6"/>
      <c r="I523" s="6"/>
    </row>
    <row r="524">
      <c r="D524" s="6"/>
      <c r="I524" s="6"/>
    </row>
    <row r="525">
      <c r="D525" s="6"/>
      <c r="I525" s="6"/>
    </row>
    <row r="526">
      <c r="D526" s="6"/>
      <c r="I526" s="6"/>
    </row>
    <row r="527">
      <c r="D527" s="6"/>
      <c r="I527" s="6"/>
    </row>
    <row r="528">
      <c r="D528" s="6"/>
      <c r="I528" s="6"/>
    </row>
    <row r="529">
      <c r="D529" s="6"/>
      <c r="I529" s="6"/>
    </row>
    <row r="530">
      <c r="D530" s="6"/>
      <c r="I530" s="6"/>
    </row>
    <row r="531">
      <c r="D531" s="6"/>
      <c r="I531" s="6"/>
    </row>
    <row r="532">
      <c r="D532" s="6"/>
      <c r="I532" s="6"/>
    </row>
    <row r="533">
      <c r="D533" s="6"/>
      <c r="I533" s="6"/>
    </row>
    <row r="534">
      <c r="D534" s="6"/>
      <c r="I534" s="6"/>
    </row>
    <row r="535">
      <c r="D535" s="6"/>
      <c r="I535" s="6"/>
    </row>
    <row r="536">
      <c r="D536" s="6"/>
      <c r="I536" s="6"/>
    </row>
    <row r="537">
      <c r="D537" s="6"/>
      <c r="I537" s="6"/>
    </row>
    <row r="538">
      <c r="D538" s="6"/>
      <c r="I538" s="6"/>
    </row>
    <row r="539">
      <c r="D539" s="6"/>
      <c r="I539" s="6"/>
    </row>
    <row r="540">
      <c r="D540" s="6"/>
      <c r="I540" s="6"/>
    </row>
    <row r="541">
      <c r="D541" s="6"/>
      <c r="I541" s="6"/>
    </row>
    <row r="542">
      <c r="D542" s="6"/>
      <c r="I542" s="6"/>
    </row>
    <row r="543">
      <c r="D543" s="6"/>
      <c r="I543" s="6"/>
    </row>
    <row r="544">
      <c r="D544" s="6"/>
      <c r="I544" s="6"/>
    </row>
    <row r="545">
      <c r="D545" s="6"/>
      <c r="I545" s="6"/>
    </row>
    <row r="546">
      <c r="D546" s="6"/>
      <c r="I546" s="6"/>
    </row>
    <row r="547">
      <c r="D547" s="6"/>
      <c r="I547" s="6"/>
    </row>
    <row r="548">
      <c r="D548" s="6"/>
      <c r="I548" s="6"/>
    </row>
    <row r="549">
      <c r="D549" s="6"/>
      <c r="I549" s="6"/>
    </row>
    <row r="550">
      <c r="D550" s="6"/>
      <c r="I550" s="6"/>
    </row>
    <row r="551">
      <c r="D551" s="6"/>
      <c r="I551" s="6"/>
    </row>
    <row r="552">
      <c r="D552" s="6"/>
      <c r="I552" s="6"/>
    </row>
    <row r="553">
      <c r="D553" s="6"/>
      <c r="I553" s="6"/>
    </row>
    <row r="554">
      <c r="D554" s="6"/>
      <c r="I554" s="6"/>
    </row>
    <row r="555">
      <c r="D555" s="6"/>
      <c r="I555" s="6"/>
    </row>
    <row r="556">
      <c r="D556" s="6"/>
      <c r="I556" s="6"/>
    </row>
    <row r="557">
      <c r="D557" s="6"/>
      <c r="I557" s="6"/>
    </row>
    <row r="558">
      <c r="D558" s="6"/>
      <c r="I558" s="6"/>
    </row>
    <row r="559">
      <c r="D559" s="6"/>
      <c r="I559" s="6"/>
    </row>
    <row r="560">
      <c r="D560" s="6"/>
      <c r="I560" s="6"/>
    </row>
    <row r="561">
      <c r="D561" s="6"/>
      <c r="I561" s="6"/>
    </row>
    <row r="562">
      <c r="D562" s="6"/>
      <c r="I562" s="6"/>
    </row>
    <row r="563">
      <c r="D563" s="6"/>
      <c r="I563" s="6"/>
    </row>
    <row r="564">
      <c r="D564" s="6"/>
      <c r="I564" s="6"/>
    </row>
    <row r="565">
      <c r="D565" s="6"/>
      <c r="I565" s="6"/>
    </row>
    <row r="566">
      <c r="D566" s="6"/>
      <c r="I566" s="6"/>
    </row>
    <row r="567">
      <c r="D567" s="6"/>
      <c r="I567" s="6"/>
    </row>
    <row r="568">
      <c r="D568" s="6"/>
      <c r="I568" s="6"/>
    </row>
    <row r="569">
      <c r="D569" s="6"/>
      <c r="I569" s="6"/>
    </row>
    <row r="570">
      <c r="D570" s="6"/>
      <c r="I570" s="6"/>
    </row>
    <row r="571">
      <c r="D571" s="6"/>
      <c r="I571" s="6"/>
    </row>
    <row r="572">
      <c r="D572" s="6"/>
      <c r="I572" s="6"/>
    </row>
    <row r="573">
      <c r="D573" s="6"/>
      <c r="I573" s="6"/>
    </row>
    <row r="574">
      <c r="D574" s="6"/>
      <c r="I574" s="6"/>
    </row>
    <row r="575">
      <c r="D575" s="6"/>
      <c r="I575" s="6"/>
    </row>
    <row r="576">
      <c r="D576" s="6"/>
      <c r="I576" s="6"/>
    </row>
    <row r="577">
      <c r="D577" s="6"/>
      <c r="I577" s="6"/>
    </row>
    <row r="578">
      <c r="D578" s="6"/>
      <c r="I578" s="6"/>
    </row>
    <row r="579">
      <c r="D579" s="6"/>
      <c r="I579" s="6"/>
    </row>
    <row r="580">
      <c r="D580" s="6"/>
      <c r="I580" s="6"/>
    </row>
    <row r="581">
      <c r="D581" s="6"/>
      <c r="I581" s="6"/>
    </row>
    <row r="582">
      <c r="D582" s="6"/>
      <c r="I582" s="6"/>
    </row>
    <row r="583">
      <c r="D583" s="6"/>
      <c r="I583" s="6"/>
    </row>
    <row r="584">
      <c r="D584" s="6"/>
      <c r="I584" s="6"/>
    </row>
    <row r="585">
      <c r="D585" s="6"/>
      <c r="I585" s="6"/>
    </row>
    <row r="586">
      <c r="D586" s="6"/>
      <c r="I586" s="6"/>
    </row>
    <row r="587">
      <c r="D587" s="6"/>
      <c r="I587" s="6"/>
    </row>
    <row r="588">
      <c r="D588" s="6"/>
      <c r="I588" s="6"/>
    </row>
    <row r="589">
      <c r="D589" s="6"/>
      <c r="I589" s="6"/>
    </row>
    <row r="590">
      <c r="D590" s="6"/>
      <c r="I590" s="6"/>
    </row>
    <row r="591">
      <c r="D591" s="6"/>
      <c r="I591" s="6"/>
    </row>
    <row r="592">
      <c r="D592" s="6"/>
      <c r="I592" s="6"/>
    </row>
    <row r="593">
      <c r="D593" s="6"/>
      <c r="I593" s="6"/>
    </row>
    <row r="594">
      <c r="D594" s="6"/>
      <c r="I594" s="6"/>
    </row>
    <row r="595">
      <c r="D595" s="6"/>
      <c r="I595" s="6"/>
    </row>
    <row r="596">
      <c r="D596" s="6"/>
      <c r="I596" s="6"/>
    </row>
    <row r="597">
      <c r="D597" s="6"/>
      <c r="I597" s="6"/>
    </row>
    <row r="598">
      <c r="D598" s="6"/>
      <c r="I598" s="6"/>
    </row>
    <row r="599">
      <c r="D599" s="6"/>
      <c r="I599" s="6"/>
    </row>
    <row r="600">
      <c r="D600" s="6"/>
      <c r="I600" s="6"/>
    </row>
    <row r="601">
      <c r="D601" s="6"/>
      <c r="I601" s="6"/>
    </row>
    <row r="602">
      <c r="D602" s="6"/>
      <c r="I602" s="6"/>
    </row>
    <row r="603">
      <c r="D603" s="6"/>
      <c r="I603" s="6"/>
    </row>
    <row r="604">
      <c r="D604" s="6"/>
      <c r="I604" s="6"/>
    </row>
    <row r="605">
      <c r="D605" s="6"/>
      <c r="I605" s="6"/>
    </row>
    <row r="606">
      <c r="D606" s="6"/>
      <c r="I606" s="6"/>
    </row>
    <row r="607">
      <c r="D607" s="6"/>
      <c r="I607" s="6"/>
    </row>
    <row r="608">
      <c r="D608" s="6"/>
      <c r="I608" s="6"/>
    </row>
    <row r="609">
      <c r="D609" s="6"/>
      <c r="I609" s="6"/>
    </row>
    <row r="610">
      <c r="D610" s="6"/>
      <c r="I610" s="6"/>
    </row>
    <row r="611">
      <c r="D611" s="6"/>
      <c r="I611" s="6"/>
    </row>
    <row r="612">
      <c r="D612" s="6"/>
      <c r="I612" s="6"/>
    </row>
    <row r="613">
      <c r="D613" s="6"/>
      <c r="I613" s="6"/>
    </row>
    <row r="614">
      <c r="D614" s="6"/>
      <c r="I614" s="6"/>
    </row>
    <row r="615">
      <c r="D615" s="6"/>
      <c r="I615" s="6"/>
    </row>
    <row r="616">
      <c r="D616" s="6"/>
      <c r="I616" s="6"/>
    </row>
    <row r="617">
      <c r="D617" s="6"/>
      <c r="I617" s="6"/>
    </row>
    <row r="618">
      <c r="D618" s="6"/>
      <c r="I618" s="6"/>
    </row>
    <row r="619">
      <c r="D619" s="6"/>
      <c r="I619" s="6"/>
    </row>
    <row r="620">
      <c r="D620" s="6"/>
      <c r="I620" s="6"/>
    </row>
    <row r="621">
      <c r="D621" s="6"/>
      <c r="I621" s="6"/>
    </row>
    <row r="622">
      <c r="D622" s="6"/>
      <c r="I622" s="6"/>
    </row>
    <row r="623">
      <c r="D623" s="6"/>
      <c r="I623" s="6"/>
    </row>
    <row r="624">
      <c r="D624" s="6"/>
      <c r="I624" s="6"/>
    </row>
    <row r="625">
      <c r="D625" s="6"/>
      <c r="I625" s="6"/>
    </row>
    <row r="626">
      <c r="D626" s="6"/>
      <c r="I626" s="6"/>
    </row>
    <row r="627">
      <c r="D627" s="6"/>
      <c r="I627" s="6"/>
    </row>
    <row r="628">
      <c r="D628" s="6"/>
      <c r="I628" s="6"/>
    </row>
    <row r="629">
      <c r="D629" s="6"/>
      <c r="I629" s="6"/>
    </row>
    <row r="630">
      <c r="D630" s="6"/>
      <c r="I630" s="6"/>
    </row>
    <row r="631">
      <c r="D631" s="6"/>
      <c r="I631" s="6"/>
    </row>
    <row r="632">
      <c r="D632" s="6"/>
      <c r="I632" s="6"/>
    </row>
    <row r="633">
      <c r="D633" s="6"/>
      <c r="I633" s="6"/>
    </row>
    <row r="634">
      <c r="D634" s="6"/>
      <c r="I634" s="6"/>
    </row>
    <row r="635">
      <c r="D635" s="6"/>
      <c r="I635" s="6"/>
    </row>
    <row r="636">
      <c r="D636" s="6"/>
      <c r="I636" s="6"/>
    </row>
    <row r="637">
      <c r="D637" s="6"/>
      <c r="I637" s="6"/>
    </row>
    <row r="638">
      <c r="D638" s="6"/>
      <c r="I638" s="6"/>
    </row>
    <row r="639">
      <c r="D639" s="6"/>
      <c r="I639" s="6"/>
    </row>
    <row r="640">
      <c r="D640" s="6"/>
      <c r="I640" s="6"/>
    </row>
    <row r="641">
      <c r="D641" s="6"/>
      <c r="I641" s="6"/>
    </row>
    <row r="642">
      <c r="D642" s="6"/>
      <c r="I642" s="6"/>
    </row>
    <row r="643">
      <c r="D643" s="6"/>
      <c r="I643" s="6"/>
    </row>
    <row r="644">
      <c r="D644" s="6"/>
      <c r="I644" s="6"/>
    </row>
    <row r="645">
      <c r="D645" s="6"/>
      <c r="I645" s="6"/>
    </row>
    <row r="646">
      <c r="D646" s="6"/>
      <c r="I646" s="6"/>
    </row>
    <row r="647">
      <c r="D647" s="6"/>
      <c r="I647" s="6"/>
    </row>
    <row r="648">
      <c r="D648" s="6"/>
      <c r="I648" s="6"/>
    </row>
    <row r="649">
      <c r="D649" s="6"/>
      <c r="I649" s="6"/>
    </row>
    <row r="650">
      <c r="D650" s="6"/>
      <c r="I650" s="6"/>
    </row>
    <row r="651">
      <c r="D651" s="6"/>
      <c r="I651" s="6"/>
    </row>
    <row r="652">
      <c r="D652" s="6"/>
      <c r="I652" s="6"/>
    </row>
    <row r="653">
      <c r="D653" s="6"/>
      <c r="I653" s="6"/>
    </row>
    <row r="654">
      <c r="D654" s="6"/>
      <c r="I654" s="6"/>
    </row>
    <row r="655">
      <c r="D655" s="6"/>
      <c r="I655" s="6"/>
    </row>
    <row r="656">
      <c r="D656" s="6"/>
      <c r="I656" s="6"/>
    </row>
    <row r="657">
      <c r="D657" s="6"/>
      <c r="I657" s="6"/>
    </row>
    <row r="658">
      <c r="D658" s="6"/>
      <c r="I658" s="6"/>
    </row>
    <row r="659">
      <c r="D659" s="6"/>
      <c r="I659" s="6"/>
    </row>
    <row r="660">
      <c r="D660" s="6"/>
      <c r="I660" s="6"/>
    </row>
    <row r="661">
      <c r="D661" s="6"/>
      <c r="I661" s="6"/>
    </row>
    <row r="662">
      <c r="D662" s="6"/>
      <c r="I662" s="6"/>
    </row>
    <row r="663">
      <c r="D663" s="6"/>
      <c r="I663" s="6"/>
    </row>
    <row r="664">
      <c r="D664" s="6"/>
      <c r="I664" s="6"/>
    </row>
    <row r="665">
      <c r="D665" s="6"/>
      <c r="I665" s="6"/>
    </row>
    <row r="666">
      <c r="D666" s="6"/>
      <c r="I666" s="6"/>
    </row>
    <row r="667">
      <c r="D667" s="6"/>
      <c r="I667" s="6"/>
    </row>
    <row r="668">
      <c r="D668" s="6"/>
      <c r="I668" s="6"/>
    </row>
    <row r="669">
      <c r="D669" s="6"/>
      <c r="I669" s="6"/>
    </row>
    <row r="670">
      <c r="D670" s="6"/>
      <c r="I670" s="6"/>
    </row>
    <row r="671">
      <c r="D671" s="6"/>
      <c r="I671" s="6"/>
    </row>
    <row r="672">
      <c r="D672" s="6"/>
      <c r="I672" s="6"/>
    </row>
    <row r="673">
      <c r="D673" s="6"/>
      <c r="I673" s="6"/>
    </row>
    <row r="674">
      <c r="D674" s="6"/>
      <c r="I674" s="6"/>
    </row>
    <row r="675">
      <c r="D675" s="6"/>
      <c r="I675" s="6"/>
    </row>
    <row r="676">
      <c r="D676" s="6"/>
      <c r="I676" s="6"/>
    </row>
    <row r="677">
      <c r="D677" s="6"/>
      <c r="I677" s="6"/>
    </row>
    <row r="678">
      <c r="D678" s="6"/>
      <c r="I678" s="6"/>
    </row>
    <row r="679">
      <c r="D679" s="6"/>
      <c r="I679" s="6"/>
    </row>
    <row r="680">
      <c r="D680" s="6"/>
      <c r="I680" s="6"/>
    </row>
    <row r="681">
      <c r="D681" s="6"/>
      <c r="I681" s="6"/>
    </row>
    <row r="682">
      <c r="D682" s="6"/>
      <c r="I682" s="6"/>
    </row>
    <row r="683">
      <c r="D683" s="6"/>
      <c r="I683" s="6"/>
    </row>
    <row r="684">
      <c r="D684" s="6"/>
      <c r="I684" s="6"/>
    </row>
    <row r="685">
      <c r="D685" s="6"/>
      <c r="I685" s="6"/>
    </row>
    <row r="686">
      <c r="D686" s="6"/>
      <c r="I686" s="6"/>
    </row>
    <row r="687">
      <c r="D687" s="6"/>
      <c r="I687" s="6"/>
    </row>
    <row r="688">
      <c r="D688" s="6"/>
      <c r="I688" s="6"/>
    </row>
    <row r="689">
      <c r="D689" s="6"/>
      <c r="I689" s="6"/>
    </row>
    <row r="690">
      <c r="D690" s="6"/>
      <c r="I690" s="6"/>
    </row>
    <row r="691">
      <c r="D691" s="6"/>
      <c r="I691" s="6"/>
    </row>
    <row r="692">
      <c r="D692" s="6"/>
      <c r="I692" s="6"/>
    </row>
    <row r="693">
      <c r="D693" s="6"/>
      <c r="I693" s="6"/>
    </row>
    <row r="694">
      <c r="D694" s="6"/>
      <c r="I694" s="6"/>
    </row>
    <row r="695">
      <c r="D695" s="6"/>
      <c r="I695" s="6"/>
    </row>
    <row r="696">
      <c r="D696" s="6"/>
      <c r="I696" s="6"/>
    </row>
    <row r="697">
      <c r="D697" s="6"/>
      <c r="I697" s="6"/>
    </row>
    <row r="698">
      <c r="D698" s="6"/>
      <c r="I698" s="6"/>
    </row>
    <row r="699">
      <c r="D699" s="6"/>
      <c r="I699" s="6"/>
    </row>
    <row r="700">
      <c r="D700" s="6"/>
      <c r="I700" s="6"/>
    </row>
    <row r="701">
      <c r="D701" s="6"/>
      <c r="I701" s="6"/>
    </row>
    <row r="702">
      <c r="D702" s="6"/>
      <c r="I702" s="6"/>
    </row>
    <row r="703">
      <c r="D703" s="6"/>
      <c r="I703" s="6"/>
    </row>
    <row r="704">
      <c r="D704" s="6"/>
      <c r="I704" s="6"/>
    </row>
    <row r="705">
      <c r="D705" s="6"/>
      <c r="I705" s="6"/>
    </row>
    <row r="706">
      <c r="D706" s="6"/>
      <c r="I706" s="6"/>
    </row>
    <row r="707">
      <c r="D707" s="6"/>
      <c r="I707" s="6"/>
    </row>
    <row r="708">
      <c r="D708" s="6"/>
      <c r="I708" s="6"/>
    </row>
    <row r="709">
      <c r="D709" s="6"/>
      <c r="I709" s="6"/>
    </row>
    <row r="710">
      <c r="D710" s="6"/>
      <c r="I710" s="6"/>
    </row>
    <row r="711">
      <c r="D711" s="6"/>
      <c r="I711" s="6"/>
    </row>
    <row r="712">
      <c r="D712" s="6"/>
      <c r="I712" s="6"/>
    </row>
    <row r="713">
      <c r="D713" s="6"/>
      <c r="I713" s="6"/>
    </row>
    <row r="714">
      <c r="D714" s="6"/>
      <c r="I714" s="6"/>
    </row>
    <row r="715">
      <c r="D715" s="6"/>
      <c r="I715" s="6"/>
    </row>
    <row r="716">
      <c r="D716" s="6"/>
      <c r="I716" s="6"/>
    </row>
    <row r="717">
      <c r="D717" s="6"/>
      <c r="I717" s="6"/>
    </row>
    <row r="718">
      <c r="D718" s="6"/>
      <c r="I718" s="6"/>
    </row>
    <row r="719">
      <c r="D719" s="6"/>
      <c r="I719" s="6"/>
    </row>
    <row r="720">
      <c r="D720" s="6"/>
      <c r="I720" s="6"/>
    </row>
    <row r="721">
      <c r="D721" s="6"/>
      <c r="I721" s="6"/>
    </row>
    <row r="722">
      <c r="D722" s="6"/>
      <c r="I722" s="6"/>
    </row>
    <row r="723">
      <c r="D723" s="6"/>
      <c r="I723" s="6"/>
    </row>
    <row r="724">
      <c r="D724" s="6"/>
      <c r="I724" s="6"/>
    </row>
    <row r="725">
      <c r="D725" s="6"/>
      <c r="I725" s="6"/>
    </row>
    <row r="726">
      <c r="D726" s="6"/>
      <c r="I726" s="6"/>
    </row>
    <row r="727">
      <c r="D727" s="6"/>
      <c r="I727" s="6"/>
    </row>
    <row r="728">
      <c r="D728" s="6"/>
      <c r="I728" s="6"/>
    </row>
    <row r="729">
      <c r="D729" s="6"/>
      <c r="I729" s="6"/>
    </row>
    <row r="730">
      <c r="D730" s="6"/>
      <c r="I730" s="6"/>
    </row>
    <row r="731">
      <c r="D731" s="6"/>
      <c r="I731" s="6"/>
    </row>
    <row r="732">
      <c r="D732" s="6"/>
      <c r="I732" s="6"/>
    </row>
    <row r="733">
      <c r="D733" s="6"/>
      <c r="I733" s="6"/>
    </row>
    <row r="734">
      <c r="D734" s="6"/>
      <c r="I734" s="6"/>
    </row>
    <row r="735">
      <c r="D735" s="6"/>
      <c r="I735" s="6"/>
    </row>
    <row r="736">
      <c r="D736" s="6"/>
      <c r="I736" s="6"/>
    </row>
    <row r="737">
      <c r="D737" s="6"/>
      <c r="I737" s="6"/>
    </row>
    <row r="738">
      <c r="D738" s="6"/>
      <c r="I738" s="6"/>
    </row>
    <row r="739">
      <c r="D739" s="6"/>
      <c r="I739" s="6"/>
    </row>
    <row r="740">
      <c r="D740" s="6"/>
      <c r="I740" s="6"/>
    </row>
    <row r="741">
      <c r="D741" s="6"/>
      <c r="I741" s="6"/>
    </row>
    <row r="742">
      <c r="D742" s="6"/>
      <c r="I742" s="6"/>
    </row>
    <row r="743">
      <c r="D743" s="6"/>
      <c r="I743" s="6"/>
    </row>
    <row r="744">
      <c r="D744" s="6"/>
      <c r="I744" s="6"/>
    </row>
    <row r="745">
      <c r="D745" s="6"/>
      <c r="I745" s="6"/>
    </row>
    <row r="746">
      <c r="D746" s="6"/>
      <c r="I746" s="6"/>
    </row>
    <row r="747">
      <c r="D747" s="6"/>
      <c r="I747" s="6"/>
    </row>
    <row r="748">
      <c r="D748" s="6"/>
      <c r="I748" s="6"/>
    </row>
    <row r="749">
      <c r="D749" s="6"/>
      <c r="I749" s="6"/>
    </row>
    <row r="750">
      <c r="D750" s="6"/>
      <c r="I750" s="6"/>
    </row>
    <row r="751">
      <c r="D751" s="6"/>
      <c r="I751" s="6"/>
    </row>
    <row r="752">
      <c r="D752" s="6"/>
      <c r="I752" s="6"/>
    </row>
    <row r="753">
      <c r="D753" s="6"/>
      <c r="I753" s="6"/>
    </row>
    <row r="754">
      <c r="D754" s="6"/>
      <c r="I754" s="6"/>
    </row>
    <row r="755">
      <c r="D755" s="6"/>
      <c r="I755" s="6"/>
    </row>
    <row r="756">
      <c r="D756" s="6"/>
      <c r="I756" s="6"/>
    </row>
    <row r="757">
      <c r="D757" s="6"/>
      <c r="I757" s="6"/>
    </row>
    <row r="758">
      <c r="D758" s="6"/>
      <c r="I758" s="6"/>
    </row>
    <row r="759">
      <c r="D759" s="6"/>
      <c r="I759" s="6"/>
    </row>
    <row r="760">
      <c r="D760" s="6"/>
      <c r="I760" s="6"/>
    </row>
    <row r="761">
      <c r="D761" s="6"/>
      <c r="I761" s="6"/>
    </row>
    <row r="762">
      <c r="D762" s="6"/>
      <c r="I762" s="6"/>
    </row>
    <row r="763">
      <c r="D763" s="6"/>
      <c r="I763" s="6"/>
    </row>
    <row r="764">
      <c r="D764" s="6"/>
      <c r="I764" s="6"/>
    </row>
    <row r="765">
      <c r="D765" s="6"/>
      <c r="I765" s="6"/>
    </row>
    <row r="766">
      <c r="D766" s="6"/>
      <c r="I766" s="6"/>
    </row>
    <row r="767">
      <c r="D767" s="6"/>
      <c r="I767" s="6"/>
    </row>
    <row r="768">
      <c r="D768" s="6"/>
      <c r="I768" s="6"/>
    </row>
    <row r="769">
      <c r="D769" s="6"/>
      <c r="I769" s="6"/>
    </row>
    <row r="770">
      <c r="D770" s="6"/>
      <c r="I770" s="6"/>
    </row>
    <row r="771">
      <c r="D771" s="6"/>
      <c r="I771" s="6"/>
    </row>
    <row r="772">
      <c r="D772" s="6"/>
      <c r="I772" s="6"/>
    </row>
    <row r="773">
      <c r="D773" s="6"/>
      <c r="I773" s="6"/>
    </row>
    <row r="774">
      <c r="D774" s="6"/>
      <c r="I774" s="6"/>
    </row>
    <row r="775">
      <c r="D775" s="6"/>
      <c r="I775" s="6"/>
    </row>
    <row r="776">
      <c r="D776" s="6"/>
      <c r="I776" s="6"/>
    </row>
    <row r="777">
      <c r="D777" s="6"/>
      <c r="I777" s="6"/>
    </row>
    <row r="778">
      <c r="D778" s="6"/>
      <c r="I778" s="6"/>
    </row>
    <row r="779">
      <c r="D779" s="6"/>
      <c r="I779" s="6"/>
    </row>
    <row r="780">
      <c r="D780" s="6"/>
      <c r="I780" s="6"/>
    </row>
    <row r="781">
      <c r="D781" s="6"/>
      <c r="I781" s="6"/>
    </row>
    <row r="782">
      <c r="D782" s="6"/>
      <c r="I782" s="6"/>
    </row>
    <row r="783">
      <c r="D783" s="6"/>
      <c r="I783" s="6"/>
    </row>
    <row r="784">
      <c r="D784" s="6"/>
      <c r="I784" s="6"/>
    </row>
    <row r="785">
      <c r="D785" s="6"/>
      <c r="I785" s="6"/>
    </row>
    <row r="786">
      <c r="D786" s="6"/>
      <c r="I786" s="6"/>
    </row>
    <row r="787">
      <c r="D787" s="6"/>
      <c r="I787" s="6"/>
    </row>
    <row r="788">
      <c r="D788" s="6"/>
      <c r="I788" s="6"/>
    </row>
    <row r="789">
      <c r="D789" s="6"/>
      <c r="I789" s="6"/>
    </row>
    <row r="790">
      <c r="D790" s="6"/>
      <c r="I790" s="6"/>
    </row>
    <row r="791">
      <c r="D791" s="6"/>
      <c r="I791" s="6"/>
    </row>
    <row r="792">
      <c r="D792" s="6"/>
      <c r="I792" s="6"/>
    </row>
    <row r="793">
      <c r="D793" s="6"/>
      <c r="I793" s="6"/>
    </row>
    <row r="794">
      <c r="D794" s="6"/>
      <c r="I794" s="6"/>
    </row>
    <row r="795">
      <c r="D795" s="6"/>
      <c r="I795" s="6"/>
    </row>
    <row r="796">
      <c r="D796" s="6"/>
      <c r="I796" s="6"/>
    </row>
    <row r="797">
      <c r="D797" s="6"/>
      <c r="I797" s="6"/>
    </row>
    <row r="798">
      <c r="D798" s="6"/>
      <c r="I798" s="6"/>
    </row>
    <row r="799">
      <c r="D799" s="6"/>
      <c r="I799" s="6"/>
    </row>
    <row r="800">
      <c r="D800" s="6"/>
      <c r="I800" s="6"/>
    </row>
    <row r="801">
      <c r="D801" s="6"/>
      <c r="I801" s="6"/>
    </row>
    <row r="802">
      <c r="D802" s="6"/>
      <c r="I802" s="6"/>
    </row>
    <row r="803">
      <c r="D803" s="6"/>
      <c r="I803" s="6"/>
    </row>
    <row r="804">
      <c r="D804" s="6"/>
      <c r="I804" s="6"/>
    </row>
    <row r="805">
      <c r="D805" s="6"/>
      <c r="I805" s="6"/>
    </row>
    <row r="806">
      <c r="D806" s="6"/>
      <c r="I806" s="6"/>
    </row>
    <row r="807">
      <c r="D807" s="6"/>
      <c r="I807" s="6"/>
    </row>
    <row r="808">
      <c r="D808" s="6"/>
      <c r="I808" s="6"/>
    </row>
    <row r="809">
      <c r="D809" s="6"/>
      <c r="I809" s="6"/>
    </row>
    <row r="810">
      <c r="D810" s="6"/>
      <c r="I810" s="6"/>
    </row>
    <row r="811">
      <c r="D811" s="6"/>
      <c r="I811" s="6"/>
    </row>
    <row r="812">
      <c r="D812" s="6"/>
      <c r="I812" s="6"/>
    </row>
    <row r="813">
      <c r="D813" s="6"/>
      <c r="I813" s="6"/>
    </row>
    <row r="814">
      <c r="D814" s="6"/>
      <c r="I814" s="6"/>
    </row>
    <row r="815">
      <c r="D815" s="6"/>
      <c r="I815" s="6"/>
    </row>
    <row r="816">
      <c r="D816" s="6"/>
      <c r="I816" s="6"/>
    </row>
    <row r="817">
      <c r="D817" s="6"/>
      <c r="I817" s="6"/>
    </row>
    <row r="818">
      <c r="D818" s="6"/>
      <c r="I818" s="6"/>
    </row>
    <row r="819">
      <c r="D819" s="6"/>
      <c r="I819" s="6"/>
    </row>
    <row r="820">
      <c r="D820" s="6"/>
      <c r="I820" s="6"/>
    </row>
    <row r="821">
      <c r="D821" s="6"/>
      <c r="I821" s="6"/>
    </row>
    <row r="822">
      <c r="D822" s="6"/>
      <c r="I822" s="6"/>
    </row>
    <row r="823">
      <c r="D823" s="6"/>
      <c r="I823" s="6"/>
    </row>
    <row r="824">
      <c r="D824" s="6"/>
      <c r="I824" s="6"/>
    </row>
    <row r="825">
      <c r="D825" s="6"/>
      <c r="I825" s="6"/>
    </row>
    <row r="826">
      <c r="D826" s="6"/>
      <c r="I826" s="6"/>
    </row>
    <row r="827">
      <c r="D827" s="6"/>
      <c r="I827" s="6"/>
    </row>
    <row r="828">
      <c r="D828" s="6"/>
      <c r="I828" s="6"/>
    </row>
    <row r="829">
      <c r="D829" s="6"/>
      <c r="I829" s="6"/>
    </row>
    <row r="830">
      <c r="D830" s="6"/>
      <c r="I830" s="6"/>
    </row>
    <row r="831">
      <c r="D831" s="6"/>
      <c r="I831" s="6"/>
    </row>
    <row r="832">
      <c r="D832" s="6"/>
      <c r="I832" s="6"/>
    </row>
    <row r="833">
      <c r="D833" s="6"/>
      <c r="I833" s="6"/>
    </row>
    <row r="834">
      <c r="D834" s="6"/>
      <c r="I834" s="6"/>
    </row>
    <row r="835">
      <c r="D835" s="6"/>
      <c r="I835" s="6"/>
    </row>
    <row r="836">
      <c r="D836" s="6"/>
      <c r="I836" s="6"/>
    </row>
    <row r="837">
      <c r="D837" s="6"/>
      <c r="I837" s="6"/>
    </row>
    <row r="838">
      <c r="D838" s="6"/>
      <c r="I838" s="6"/>
    </row>
    <row r="839">
      <c r="D839" s="6"/>
      <c r="I839" s="6"/>
    </row>
    <row r="840">
      <c r="D840" s="6"/>
      <c r="I840" s="6"/>
    </row>
    <row r="841">
      <c r="D841" s="6"/>
      <c r="I841" s="6"/>
    </row>
    <row r="842">
      <c r="D842" s="6"/>
      <c r="I842" s="6"/>
    </row>
    <row r="843">
      <c r="D843" s="6"/>
      <c r="I843" s="6"/>
    </row>
    <row r="844">
      <c r="D844" s="6"/>
      <c r="I844" s="6"/>
    </row>
    <row r="845">
      <c r="D845" s="6"/>
      <c r="I845" s="6"/>
    </row>
    <row r="846">
      <c r="D846" s="6"/>
      <c r="I846" s="6"/>
    </row>
    <row r="847">
      <c r="D847" s="6"/>
      <c r="I847" s="6"/>
    </row>
    <row r="848">
      <c r="D848" s="6"/>
      <c r="I848" s="6"/>
    </row>
    <row r="849">
      <c r="D849" s="6"/>
      <c r="I849" s="6"/>
    </row>
    <row r="850">
      <c r="D850" s="6"/>
      <c r="I850" s="6"/>
    </row>
    <row r="851">
      <c r="D851" s="6"/>
      <c r="I851" s="6"/>
    </row>
    <row r="852">
      <c r="D852" s="6"/>
      <c r="I852" s="6"/>
    </row>
    <row r="853">
      <c r="D853" s="6"/>
      <c r="I853" s="6"/>
    </row>
    <row r="854">
      <c r="D854" s="6"/>
      <c r="I854" s="6"/>
    </row>
    <row r="855">
      <c r="D855" s="6"/>
      <c r="I855" s="6"/>
    </row>
    <row r="856">
      <c r="D856" s="6"/>
      <c r="I856" s="6"/>
    </row>
    <row r="857">
      <c r="D857" s="6"/>
      <c r="I857" s="6"/>
    </row>
    <row r="858">
      <c r="D858" s="6"/>
      <c r="I858" s="6"/>
    </row>
    <row r="859">
      <c r="D859" s="6"/>
      <c r="I859" s="6"/>
    </row>
    <row r="860">
      <c r="D860" s="6"/>
      <c r="I860" s="6"/>
    </row>
    <row r="861">
      <c r="D861" s="6"/>
      <c r="I861" s="6"/>
    </row>
    <row r="862">
      <c r="D862" s="6"/>
      <c r="I862" s="6"/>
    </row>
    <row r="863">
      <c r="D863" s="6"/>
      <c r="I863" s="6"/>
    </row>
    <row r="864">
      <c r="D864" s="6"/>
      <c r="I864" s="6"/>
    </row>
    <row r="865">
      <c r="D865" s="6"/>
      <c r="I865" s="6"/>
    </row>
    <row r="866">
      <c r="D866" s="6"/>
      <c r="I866" s="6"/>
    </row>
    <row r="867">
      <c r="D867" s="6"/>
      <c r="I867" s="6"/>
    </row>
    <row r="868">
      <c r="D868" s="6"/>
      <c r="I868" s="6"/>
    </row>
    <row r="869">
      <c r="D869" s="6"/>
      <c r="I869" s="6"/>
    </row>
    <row r="870">
      <c r="D870" s="6"/>
      <c r="I870" s="6"/>
    </row>
    <row r="871">
      <c r="D871" s="6"/>
      <c r="I871" s="6"/>
    </row>
    <row r="872">
      <c r="D872" s="6"/>
      <c r="I872" s="6"/>
    </row>
    <row r="873">
      <c r="D873" s="6"/>
      <c r="I873" s="6"/>
    </row>
    <row r="874">
      <c r="D874" s="6"/>
      <c r="I874" s="6"/>
    </row>
    <row r="875">
      <c r="D875" s="6"/>
      <c r="I875" s="6"/>
    </row>
    <row r="876">
      <c r="D876" s="6"/>
      <c r="I876" s="6"/>
    </row>
    <row r="877">
      <c r="D877" s="6"/>
      <c r="I877" s="6"/>
    </row>
    <row r="878">
      <c r="D878" s="6"/>
      <c r="I878" s="6"/>
    </row>
    <row r="879">
      <c r="D879" s="6"/>
      <c r="I879" s="6"/>
    </row>
    <row r="880">
      <c r="D880" s="6"/>
      <c r="I880" s="6"/>
    </row>
    <row r="881">
      <c r="D881" s="6"/>
      <c r="I881" s="6"/>
    </row>
    <row r="882">
      <c r="D882" s="6"/>
      <c r="I882" s="6"/>
    </row>
    <row r="883">
      <c r="D883" s="6"/>
      <c r="I883" s="6"/>
    </row>
    <row r="884">
      <c r="D884" s="6"/>
      <c r="I884" s="6"/>
    </row>
    <row r="885">
      <c r="D885" s="6"/>
      <c r="I885" s="6"/>
    </row>
    <row r="886">
      <c r="D886" s="6"/>
      <c r="I886" s="6"/>
    </row>
    <row r="887">
      <c r="D887" s="6"/>
      <c r="I887" s="6"/>
    </row>
    <row r="888">
      <c r="D888" s="6"/>
      <c r="I888" s="6"/>
    </row>
    <row r="889">
      <c r="D889" s="6"/>
      <c r="I889" s="6"/>
    </row>
    <row r="890">
      <c r="D890" s="6"/>
      <c r="I890" s="6"/>
    </row>
    <row r="891">
      <c r="D891" s="6"/>
      <c r="I891" s="6"/>
    </row>
    <row r="892">
      <c r="D892" s="6"/>
      <c r="I892" s="6"/>
    </row>
    <row r="893">
      <c r="D893" s="6"/>
      <c r="I893" s="6"/>
    </row>
    <row r="894">
      <c r="D894" s="6"/>
      <c r="I894" s="6"/>
    </row>
    <row r="895">
      <c r="D895" s="6"/>
      <c r="I895" s="6"/>
    </row>
    <row r="896">
      <c r="D896" s="6"/>
      <c r="I896" s="6"/>
    </row>
    <row r="897">
      <c r="D897" s="6"/>
      <c r="I897" s="6"/>
    </row>
    <row r="898">
      <c r="D898" s="6"/>
      <c r="I898" s="6"/>
    </row>
    <row r="899">
      <c r="D899" s="6"/>
      <c r="I899" s="6"/>
    </row>
    <row r="900">
      <c r="D900" s="6"/>
      <c r="I900" s="6"/>
    </row>
    <row r="901">
      <c r="D901" s="6"/>
      <c r="I901" s="6"/>
    </row>
    <row r="902">
      <c r="D902" s="6"/>
      <c r="I902" s="6"/>
    </row>
    <row r="903">
      <c r="D903" s="6"/>
      <c r="I903" s="6"/>
    </row>
    <row r="904">
      <c r="D904" s="6"/>
      <c r="I904" s="6"/>
    </row>
    <row r="905">
      <c r="D905" s="6"/>
      <c r="I905" s="6"/>
    </row>
    <row r="906">
      <c r="D906" s="6"/>
      <c r="I906" s="6"/>
    </row>
    <row r="907">
      <c r="D907" s="6"/>
      <c r="I907" s="6"/>
    </row>
    <row r="908">
      <c r="D908" s="6"/>
      <c r="I908" s="6"/>
    </row>
    <row r="909">
      <c r="D909" s="6"/>
      <c r="I909" s="6"/>
    </row>
    <row r="910">
      <c r="D910" s="6"/>
      <c r="I910" s="6"/>
    </row>
    <row r="911">
      <c r="D911" s="6"/>
      <c r="I911" s="6"/>
    </row>
    <row r="912">
      <c r="D912" s="6"/>
      <c r="I912" s="6"/>
    </row>
    <row r="913">
      <c r="D913" s="6"/>
      <c r="I913" s="6"/>
    </row>
    <row r="914">
      <c r="D914" s="6"/>
      <c r="I914" s="6"/>
    </row>
    <row r="915">
      <c r="D915" s="6"/>
      <c r="I915" s="6"/>
    </row>
    <row r="916">
      <c r="D916" s="6"/>
      <c r="I916" s="6"/>
    </row>
    <row r="917">
      <c r="D917" s="6"/>
      <c r="I917" s="6"/>
    </row>
    <row r="918">
      <c r="D918" s="6"/>
      <c r="I918" s="6"/>
    </row>
    <row r="919">
      <c r="D919" s="6"/>
      <c r="I919" s="6"/>
    </row>
    <row r="920">
      <c r="D920" s="6"/>
      <c r="I920" s="6"/>
    </row>
    <row r="921">
      <c r="D921" s="6"/>
      <c r="I921" s="6"/>
    </row>
    <row r="922">
      <c r="D922" s="6"/>
      <c r="I922" s="6"/>
    </row>
    <row r="923">
      <c r="D923" s="6"/>
      <c r="I923" s="6"/>
    </row>
    <row r="924">
      <c r="D924" s="6"/>
      <c r="I924" s="6"/>
    </row>
    <row r="925">
      <c r="D925" s="6"/>
      <c r="I925" s="6"/>
    </row>
    <row r="926">
      <c r="D926" s="6"/>
      <c r="I926" s="6"/>
    </row>
    <row r="927">
      <c r="D927" s="6"/>
      <c r="I927" s="6"/>
    </row>
    <row r="928">
      <c r="D928" s="6"/>
      <c r="I928" s="6"/>
    </row>
    <row r="929">
      <c r="D929" s="6"/>
      <c r="I929" s="6"/>
    </row>
    <row r="930">
      <c r="D930" s="6"/>
      <c r="I930" s="6"/>
    </row>
    <row r="931">
      <c r="D931" s="6"/>
      <c r="I931" s="6"/>
    </row>
    <row r="932">
      <c r="D932" s="6"/>
      <c r="I932" s="6"/>
    </row>
    <row r="933">
      <c r="D933" s="6"/>
      <c r="I933" s="6"/>
    </row>
    <row r="934">
      <c r="D934" s="6"/>
      <c r="I934" s="6"/>
    </row>
    <row r="935">
      <c r="D935" s="6"/>
      <c r="I935" s="6"/>
    </row>
    <row r="936">
      <c r="D936" s="6"/>
      <c r="I936" s="6"/>
    </row>
    <row r="937">
      <c r="D937" s="6"/>
      <c r="I937" s="6"/>
    </row>
    <row r="938">
      <c r="D938" s="6"/>
      <c r="I938" s="6"/>
    </row>
    <row r="939">
      <c r="D939" s="6"/>
      <c r="I939" s="6"/>
    </row>
    <row r="940">
      <c r="D940" s="6"/>
      <c r="I940" s="6"/>
    </row>
    <row r="941">
      <c r="D941" s="6"/>
      <c r="I941" s="6"/>
    </row>
    <row r="942">
      <c r="D942" s="6"/>
      <c r="I942" s="6"/>
    </row>
    <row r="943">
      <c r="D943" s="6"/>
      <c r="I943" s="6"/>
    </row>
    <row r="944">
      <c r="D944" s="6"/>
      <c r="I944" s="6"/>
    </row>
    <row r="945">
      <c r="D945" s="6"/>
      <c r="I945" s="6"/>
    </row>
    <row r="946">
      <c r="D946" s="6"/>
      <c r="I946" s="6"/>
    </row>
    <row r="947">
      <c r="D947" s="6"/>
      <c r="I947" s="6"/>
    </row>
    <row r="948">
      <c r="D948" s="6"/>
      <c r="I948" s="6"/>
    </row>
    <row r="949">
      <c r="D949" s="6"/>
      <c r="I949" s="6"/>
    </row>
    <row r="950">
      <c r="D950" s="6"/>
      <c r="I950" s="6"/>
    </row>
    <row r="951">
      <c r="D951" s="6"/>
      <c r="I951" s="6"/>
    </row>
    <row r="952">
      <c r="D952" s="6"/>
      <c r="I952" s="6"/>
    </row>
    <row r="953">
      <c r="D953" s="6"/>
      <c r="I953" s="6"/>
    </row>
    <row r="954">
      <c r="D954" s="6"/>
      <c r="I954" s="6"/>
    </row>
    <row r="955">
      <c r="D955" s="6"/>
      <c r="I955" s="6"/>
    </row>
    <row r="956">
      <c r="D956" s="6"/>
      <c r="I956" s="6"/>
    </row>
    <row r="957">
      <c r="D957" s="6"/>
      <c r="I957" s="6"/>
    </row>
    <row r="958">
      <c r="D958" s="6"/>
      <c r="I958" s="6"/>
    </row>
    <row r="959">
      <c r="D959" s="6"/>
      <c r="I959" s="6"/>
    </row>
    <row r="960">
      <c r="D960" s="6"/>
      <c r="I960" s="6"/>
    </row>
    <row r="961">
      <c r="D961" s="6"/>
      <c r="I961" s="6"/>
    </row>
    <row r="962">
      <c r="D962" s="6"/>
      <c r="I962" s="6"/>
    </row>
    <row r="963">
      <c r="D963" s="6"/>
      <c r="I963" s="6"/>
    </row>
    <row r="964">
      <c r="D964" s="6"/>
      <c r="I964" s="6"/>
    </row>
    <row r="965">
      <c r="D965" s="6"/>
      <c r="I965" s="6"/>
    </row>
    <row r="966">
      <c r="D966" s="6"/>
      <c r="I966" s="6"/>
    </row>
    <row r="967">
      <c r="D967" s="6"/>
      <c r="I967" s="6"/>
    </row>
    <row r="968">
      <c r="D968" s="6"/>
      <c r="I968" s="6"/>
    </row>
    <row r="969">
      <c r="D969" s="6"/>
      <c r="I969" s="6"/>
    </row>
    <row r="970">
      <c r="D970" s="6"/>
      <c r="I970" s="6"/>
    </row>
    <row r="971">
      <c r="D971" s="6"/>
      <c r="I971" s="6"/>
    </row>
    <row r="972">
      <c r="D972" s="6"/>
      <c r="I972" s="6"/>
    </row>
    <row r="973">
      <c r="D973" s="6"/>
      <c r="I973" s="6"/>
    </row>
    <row r="974">
      <c r="D974" s="6"/>
      <c r="I974" s="6"/>
    </row>
    <row r="975">
      <c r="D975" s="6"/>
      <c r="I975" s="6"/>
    </row>
    <row r="976">
      <c r="D976" s="6"/>
      <c r="I976" s="6"/>
    </row>
    <row r="977">
      <c r="D977" s="6"/>
      <c r="I977" s="6"/>
    </row>
    <row r="978">
      <c r="D978" s="6"/>
      <c r="I978" s="6"/>
    </row>
    <row r="979">
      <c r="D979" s="6"/>
      <c r="I979" s="6"/>
    </row>
    <row r="980">
      <c r="D980" s="6"/>
      <c r="I980" s="6"/>
    </row>
    <row r="981">
      <c r="D981" s="6"/>
      <c r="I981" s="6"/>
    </row>
    <row r="982">
      <c r="D982" s="6"/>
      <c r="I982" s="6"/>
    </row>
    <row r="983">
      <c r="D983" s="6"/>
      <c r="I983" s="6"/>
    </row>
    <row r="984">
      <c r="D984" s="6"/>
      <c r="I984" s="6"/>
    </row>
    <row r="985">
      <c r="D985" s="6"/>
      <c r="I985" s="6"/>
    </row>
    <row r="986">
      <c r="D986" s="6"/>
      <c r="I986" s="6"/>
    </row>
    <row r="987">
      <c r="D987" s="6"/>
      <c r="I987" s="6"/>
    </row>
    <row r="988">
      <c r="D988" s="6"/>
      <c r="I988" s="6"/>
    </row>
    <row r="989">
      <c r="D989" s="6"/>
      <c r="I989" s="6"/>
    </row>
    <row r="990">
      <c r="D990" s="6"/>
      <c r="I990" s="6"/>
    </row>
    <row r="991">
      <c r="D991" s="6"/>
      <c r="I991" s="6"/>
    </row>
    <row r="992">
      <c r="D992" s="6"/>
      <c r="I992" s="6"/>
    </row>
    <row r="993">
      <c r="D993" s="6"/>
      <c r="I993" s="6"/>
    </row>
    <row r="994">
      <c r="D994" s="6"/>
      <c r="I994" s="6"/>
    </row>
    <row r="995">
      <c r="D995" s="6"/>
      <c r="I995" s="6"/>
    </row>
    <row r="996">
      <c r="D996" s="6"/>
      <c r="I996" s="6"/>
    </row>
    <row r="997">
      <c r="D997" s="6"/>
      <c r="I997" s="6"/>
    </row>
    <row r="998">
      <c r="D998" s="6"/>
      <c r="I998" s="6"/>
    </row>
    <row r="999">
      <c r="D999" s="6"/>
      <c r="I999" s="6"/>
    </row>
    <row r="1000">
      <c r="D1000" s="6"/>
      <c r="I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30.13"/>
  </cols>
  <sheetData>
    <row r="1">
      <c r="A1" s="1" t="s">
        <v>3</v>
      </c>
      <c r="B1" s="1" t="s">
        <v>13</v>
      </c>
    </row>
    <row r="2">
      <c r="A2" s="10" t="str">
        <f>IFERROR(__xludf.DUMMYFUNCTION("SORT(UNIQUE(TRANSPOSE(SPLIT(JOIN("";"",'Primo by Librarian'!D2:D22),"";""))),1,TRUE)"),"accountancy")</f>
        <v>accountancy</v>
      </c>
      <c r="B2" s="10" t="str">
        <f>IFERROR(__xludf.DUMMYFUNCTION("IF(ISBLANK(A2),"""",TEXTJOIN("", "", TRUE, FILTER('Primo by Librarian'!C:C, REGEXMATCH('Primo by Librarian'!D:D, ""(?i)(^|;)"" &amp; A2 &amp; ""(;|$)""))))
"),"Abigail Morgan")</f>
        <v>Abigail Morgan</v>
      </c>
    </row>
    <row r="3">
      <c r="A3" s="10" t="str">
        <f>IFERROR(__xludf.DUMMYFUNCTION("""COMPUTED_VALUE"""),"african-american history")</f>
        <v>african-american history</v>
      </c>
      <c r="B3" s="10" t="str">
        <f>IFERROR(__xludf.DUMMYFUNCTION("IF(ISBLANK(A3),"""",TEXTJOIN("", "", TRUE, FILTER('Primo by Librarian'!C:C, REGEXMATCH('Primo by Librarian'!D:D, ""(?i)(^|;)"" &amp; A3 &amp; ""(;|$)""))))
"),"Jenny Presnell")</f>
        <v>Jenny Presnell</v>
      </c>
    </row>
    <row r="4">
      <c r="A4" s="10" t="str">
        <f>IFERROR(__xludf.DUMMYFUNCTION("""COMPUTED_VALUE"""),"african-american studies")</f>
        <v>african-american studies</v>
      </c>
      <c r="B4" s="10" t="str">
        <f>IFERROR(__xludf.DUMMYFUNCTION("IF(ISBLANK(A4),"""",TEXTJOIN("", "", TRUE, FILTER('Primo by Librarian'!C:C, REGEXMATCH('Primo by Librarian'!D:D, ""(?i)(^|;)"" &amp; A4 &amp; ""(;|$)""))))
"),"Jenny Presnell")</f>
        <v>Jenny Presnell</v>
      </c>
    </row>
    <row r="5">
      <c r="A5" s="10" t="str">
        <f>IFERROR(__xludf.DUMMYFUNCTION("""COMPUTED_VALUE"""),"american studies")</f>
        <v>american studies</v>
      </c>
      <c r="B5" s="10" t="str">
        <f>IFERROR(__xludf.DUMMYFUNCTION("IF(ISBLANK(A5),"""",TEXTJOIN("", "", TRUE, FILTER('Primo by Librarian'!C:C, REGEXMATCH('Primo by Librarian'!D:D, ""(?i)(^|;)"" &amp; A5 &amp; ""(;|$)""))))
"),"Jenny Presnell")</f>
        <v>Jenny Presnell</v>
      </c>
    </row>
    <row r="6">
      <c r="A6" s="10" t="str">
        <f>IFERROR(__xludf.DUMMYFUNCTION("""COMPUTED_VALUE"""),"analytics")</f>
        <v>analytics</v>
      </c>
      <c r="B6" s="10" t="str">
        <f>IFERROR(__xludf.DUMMYFUNCTION("IF(ISBLANK(A6),"""",TEXTJOIN("", "", TRUE, FILTER('Primo by Librarian'!C:C, REGEXMATCH('Primo by Librarian'!D:D, ""(?i)(^|;)"" &amp; A6 &amp; ""(;|$)""))))
"),"Roger Justus")</f>
        <v>Roger Justus</v>
      </c>
    </row>
    <row r="7">
      <c r="A7" s="10" t="str">
        <f>IFERROR(__xludf.DUMMYFUNCTION("""COMPUTED_VALUE"""),"anthropology")</f>
        <v>anthropology</v>
      </c>
      <c r="B7" s="10" t="str">
        <f>IFERROR(__xludf.DUMMYFUNCTION("IF(ISBLANK(A7),"""",TEXTJOIN("", "", TRUE, FILTER('Primo by Librarian'!C:C, REGEXMATCH('Primo by Librarian'!D:D, ""(?i)(^|;)"" &amp; A7 &amp; ""(;|$)""))))
"),"Abigail Morgan, Krista McDonald")</f>
        <v>Abigail Morgan, Krista McDonald</v>
      </c>
    </row>
    <row r="8">
      <c r="A8" s="10" t="str">
        <f>IFERROR(__xludf.DUMMYFUNCTION("""COMPUTED_VALUE"""),"appalachian studies")</f>
        <v>appalachian studies</v>
      </c>
      <c r="B8" s="10" t="str">
        <f>IFERROR(__xludf.DUMMYFUNCTION("IF(ISBLANK(A8),"""",TEXTJOIN("", "", TRUE, FILTER('Primo by Librarian'!C:C, REGEXMATCH('Primo by Librarian'!D:D, ""(?i)(^|;)"" &amp; A8 &amp; ""(;|$)""))))
"),"Mark Shores")</f>
        <v>Mark Shores</v>
      </c>
    </row>
    <row r="9">
      <c r="A9" s="10" t="str">
        <f>IFERROR(__xludf.DUMMYFUNCTION("""COMPUTED_VALUE"""),"applied social research")</f>
        <v>applied social research</v>
      </c>
      <c r="B9" s="10" t="str">
        <f>IFERROR(__xludf.DUMMYFUNCTION("IF(ISBLANK(A9),"""",TEXTJOIN("", "", TRUE, FILTER('Primo by Librarian'!C:C, REGEXMATCH('Primo by Librarian'!D:D, ""(?i)(^|;)"" &amp; A9 &amp; ""(;|$)""))))
"),"Brea McQueen")</f>
        <v>Brea McQueen</v>
      </c>
    </row>
    <row r="10">
      <c r="A10" s="10" t="str">
        <f>IFERROR(__xludf.DUMMYFUNCTION("""COMPUTED_VALUE"""),"architecture")</f>
        <v>architecture</v>
      </c>
      <c r="B10" s="10" t="str">
        <f>IFERROR(__xludf.DUMMYFUNCTION("IF(ISBLANK(A10),"""",TEXTJOIN("", "", TRUE, FILTER('Primo by Librarian'!C:C, REGEXMATCH('Primo by Librarian'!D:D, ""(?i)(^|;)"" &amp; A10 &amp; ""(;|$)""))))
"),"Stefanie Hilles")</f>
        <v>Stefanie Hilles</v>
      </c>
    </row>
    <row r="11">
      <c r="A11" s="10" t="str">
        <f>IFERROR(__xludf.DUMMYFUNCTION("""COMPUTED_VALUE"""),"archives")</f>
        <v>archives</v>
      </c>
      <c r="B11" s="10" t="str">
        <f>IFERROR(__xludf.DUMMYFUNCTION("IF(ISBLANK(A11),"""",TEXTJOIN("", "", TRUE, FILTER('Primo by Librarian'!C:C, REGEXMATCH('Primo by Librarian'!D:D, ""(?i)(^|;)"" &amp; A11 &amp; ""(;|$)""))))
"),"Alia Wegner")</f>
        <v>Alia Wegner</v>
      </c>
    </row>
    <row r="12">
      <c r="A12" s="10" t="str">
        <f>IFERROR(__xludf.DUMMYFUNCTION("""COMPUTED_VALUE"""),"art")</f>
        <v>art</v>
      </c>
      <c r="B12" s="10" t="str">
        <f>IFERROR(__xludf.DUMMYFUNCTION("IF(ISBLANK(A12),"""",TEXTJOIN("", "", TRUE, FILTER('Primo by Librarian'!C:C, REGEXMATCH('Primo by Librarian'!D:D, ""(?i)(^|;)"" &amp; A12 &amp; ""(;|$)""))))
"),"Krista McDonald, Stefanie Hilles")</f>
        <v>Krista McDonald, Stefanie Hilles</v>
      </c>
    </row>
    <row r="13">
      <c r="A13" s="10" t="str">
        <f>IFERROR(__xludf.DUMMYFUNCTION("""COMPUTED_VALUE"""),"art education")</f>
        <v>art education</v>
      </c>
      <c r="B13" s="10" t="str">
        <f>IFERROR(__xludf.DUMMYFUNCTION("IF(ISBLANK(A13),"""",TEXTJOIN("", "", TRUE, FILTER('Primo by Librarian'!C:C, REGEXMATCH('Primo by Librarian'!D:D, ""(?i)(^|;)"" &amp; A13 &amp; ""(;|$)""))))
"),"Stefanie Hilles")</f>
        <v>Stefanie Hilles</v>
      </c>
    </row>
    <row r="14">
      <c r="A14" s="10" t="str">
        <f>IFERROR(__xludf.DUMMYFUNCTION("""COMPUTED_VALUE"""),"arts management")</f>
        <v>arts management</v>
      </c>
      <c r="B14" s="10" t="str">
        <f>IFERROR(__xludf.DUMMYFUNCTION("IF(ISBLANK(A14),"""",TEXTJOIN("", "", TRUE, FILTER('Primo by Librarian'!C:C, REGEXMATCH('Primo by Librarian'!D:D, ""(?i)(^|;)"" &amp; A14 &amp; ""(;|$)""))))
"),"Stefanie Hilles")</f>
        <v>Stefanie Hilles</v>
      </c>
    </row>
    <row r="15">
      <c r="A15" s="10" t="str">
        <f>IFERROR(__xludf.DUMMYFUNCTION("""COMPUTED_VALUE"""),"asian studies")</f>
        <v>asian studies</v>
      </c>
      <c r="B15" s="10" t="str">
        <f>IFERROR(__xludf.DUMMYFUNCTION("IF(ISBLANK(A15),"""",TEXTJOIN("", "", TRUE, FILTER('Primo by Librarian'!C:C, REGEXMATCH('Primo by Librarian'!D:D, ""(?i)(^|;)"" &amp; A15 &amp; ""(;|$)""))))
"),"Katie Gibson")</f>
        <v>Katie Gibson</v>
      </c>
    </row>
    <row r="16">
      <c r="A16" s="10" t="str">
        <f>IFERROR(__xludf.DUMMYFUNCTION("""COMPUTED_VALUE"""),"asian-american studies")</f>
        <v>asian-american studies</v>
      </c>
      <c r="B16" s="10" t="str">
        <f>IFERROR(__xludf.DUMMYFUNCTION("IF(ISBLANK(A16),"""",TEXTJOIN("", "", TRUE, FILTER('Primo by Librarian'!C:C, REGEXMATCH('Primo by Librarian'!D:D, ""(?i)(^|;)"" &amp; A16 &amp; ""(;|$)""))))
"),"Katie Gibson")</f>
        <v>Katie Gibson</v>
      </c>
    </row>
    <row r="17">
      <c r="A17" s="10" t="str">
        <f>IFERROR(__xludf.DUMMYFUNCTION("""COMPUTED_VALUE"""),"audiology")</f>
        <v>audiology</v>
      </c>
      <c r="B17" s="10" t="str">
        <f>IFERROR(__xludf.DUMMYFUNCTION("IF(ISBLANK(A17),"""",TEXTJOIN("", "", TRUE, FILTER('Primo by Librarian'!C:C, REGEXMATCH('Primo by Librarian'!D:D, ""(?i)(^|;)"" &amp; A17 &amp; ""(;|$)""))))
"),"Megan Jaskowiak")</f>
        <v>Megan Jaskowiak</v>
      </c>
    </row>
    <row r="18">
      <c r="A18" s="10" t="str">
        <f>IFERROR(__xludf.DUMMYFUNCTION("""COMPUTED_VALUE"""),"biochemistry")</f>
        <v>biochemistry</v>
      </c>
      <c r="B18" s="10" t="str">
        <f>IFERROR(__xludf.DUMMYFUNCTION("IF(ISBLANK(A18),"""",TEXTJOIN("", "", TRUE, FILTER('Primo by Librarian'!C:C, REGEXMATCH('Primo by Librarian'!D:D, ""(?i)(^|;)"" &amp; A18 &amp; ""(;|$)""))))
"),"Kristen Adams")</f>
        <v>Kristen Adams</v>
      </c>
    </row>
    <row r="19">
      <c r="A19" s="10" t="str">
        <f>IFERROR(__xludf.DUMMYFUNCTION("""COMPUTED_VALUE"""),"biology")</f>
        <v>biology</v>
      </c>
      <c r="B19" s="10" t="str">
        <f>IFERROR(__xludf.DUMMYFUNCTION("IF(ISBLANK(A19),"""",TEXTJOIN("", "", TRUE, FILTER('Primo by Librarian'!C:C, REGEXMATCH('Primo by Librarian'!D:D, ""(?i)(^|;)"" &amp; A19 &amp; ""(;|$)""))))
"),"Ginny Boehme, John Burke")</f>
        <v>Ginny Boehme, John Burke</v>
      </c>
    </row>
    <row r="20">
      <c r="A20" s="10" t="str">
        <f>IFERROR(__xludf.DUMMYFUNCTION("""COMPUTED_VALUE"""),"biomedical engineering")</f>
        <v>biomedical engineering</v>
      </c>
      <c r="B20" s="10" t="str">
        <f>IFERROR(__xludf.DUMMYFUNCTION("IF(ISBLANK(A20),"""",TEXTJOIN("", "", TRUE, FILTER('Primo by Librarian'!C:C, REGEXMATCH('Primo by Librarian'!D:D, ""(?i)(^|;)"" &amp; A20 &amp; ""(;|$)""))))
"),"Kristen Adams")</f>
        <v>Kristen Adams</v>
      </c>
    </row>
    <row r="21">
      <c r="A21" s="10" t="str">
        <f>IFERROR(__xludf.DUMMYFUNCTION("""COMPUTED_VALUE"""),"black world studies")</f>
        <v>black world studies</v>
      </c>
      <c r="B21" s="10" t="str">
        <f>IFERROR(__xludf.DUMMYFUNCTION("IF(ISBLANK(A21),"""",TEXTJOIN("", "", TRUE, FILTER('Primo by Librarian'!C:C, REGEXMATCH('Primo by Librarian'!D:D, ""(?i)(^|;)"" &amp; A21 &amp; ""(;|$)""))))
"),"Brea McQueen, Katie Gibson")</f>
        <v>Brea McQueen, Katie Gibson</v>
      </c>
    </row>
    <row r="22">
      <c r="A22" s="10" t="str">
        <f>IFERROR(__xludf.DUMMYFUNCTION("""COMPUTED_VALUE"""),"business")</f>
        <v>business</v>
      </c>
      <c r="B22" s="10" t="str">
        <f>IFERROR(__xludf.DUMMYFUNCTION("IF(ISBLANK(A22),"""",TEXTJOIN("", "", TRUE, FILTER('Primo by Librarian'!C:C, REGEXMATCH('Primo by Librarian'!D:D, ""(?i)(^|;)"" &amp; A22 &amp; ""(;|$)""))))
"),"Abigail Morgan, Mark Shores")</f>
        <v>Abigail Morgan, Mark Shores</v>
      </c>
    </row>
    <row r="23">
      <c r="A23" s="10" t="str">
        <f>IFERROR(__xludf.DUMMYFUNCTION("""COMPUTED_VALUE"""),"business legal studies")</f>
        <v>business legal studies</v>
      </c>
      <c r="B23" s="10" t="str">
        <f>IFERROR(__xludf.DUMMYFUNCTION("IF(ISBLANK(A23),"""",TEXTJOIN("", "", TRUE, FILTER('Primo by Librarian'!C:C, REGEXMATCH('Primo by Librarian'!D:D, ""(?i)(^|;)"" &amp; A23 &amp; ""(;|$)""))))
"),"Abigail Morgan")</f>
        <v>Abigail Morgan</v>
      </c>
    </row>
    <row r="24">
      <c r="A24" s="10" t="str">
        <f>IFERROR(__xludf.DUMMYFUNCTION("""COMPUTED_VALUE"""),"chemical engineering")</f>
        <v>chemical engineering</v>
      </c>
      <c r="B24" s="10" t="str">
        <f>IFERROR(__xludf.DUMMYFUNCTION("IF(ISBLANK(A24),"""",TEXTJOIN("", "", TRUE, FILTER('Primo by Librarian'!C:C, REGEXMATCH('Primo by Librarian'!D:D, ""(?i)(^|;)"" &amp; A24 &amp; ""(;|$)""))))
"),"Kristen Adams")</f>
        <v>Kristen Adams</v>
      </c>
    </row>
    <row r="25">
      <c r="A25" s="10" t="str">
        <f>IFERROR(__xludf.DUMMYFUNCTION("""COMPUTED_VALUE"""),"chemistry")</f>
        <v>chemistry</v>
      </c>
      <c r="B25" s="10" t="str">
        <f>IFERROR(__xludf.DUMMYFUNCTION("IF(ISBLANK(A25),"""",TEXTJOIN("", "", TRUE, FILTER('Primo by Librarian'!C:C, REGEXMATCH('Primo by Librarian'!D:D, ""(?i)(^|;)"" &amp; A25 &amp; ""(;|$)""))))
"),"Kristen Adams")</f>
        <v>Kristen Adams</v>
      </c>
    </row>
    <row r="26">
      <c r="A26" s="10" t="str">
        <f>IFERROR(__xludf.DUMMYFUNCTION("""COMPUTED_VALUE"""),"children’s literature")</f>
        <v>children’s literature</v>
      </c>
      <c r="B26" s="10" t="str">
        <f>IFERROR(__xludf.DUMMYFUNCTION("IF(ISBLANK(A26),"""",TEXTJOIN("", "", TRUE, FILTER('Primo by Librarian'!C:C, REGEXMATCH('Primo by Librarian'!D:D, ""(?i)(^|;)"" &amp; A26 &amp; ""(;|$)""))))
"),"Krista McDonald")</f>
        <v>Krista McDonald</v>
      </c>
    </row>
    <row r="27">
      <c r="A27" s="10" t="str">
        <f>IFERROR(__xludf.DUMMYFUNCTION("""COMPUTED_VALUE"""),"civic and regional development")</f>
        <v>civic and regional development</v>
      </c>
      <c r="B27" s="10" t="str">
        <f>IFERROR(__xludf.DUMMYFUNCTION("IF(ISBLANK(A27),"""",TEXTJOIN("", "", TRUE, FILTER('Primo by Librarian'!C:C, REGEXMATCH('Primo by Librarian'!D:D, ""(?i)(^|;)"" &amp; A27 &amp; ""(;|$)""))))
"),"Krista McDonald")</f>
        <v>Krista McDonald</v>
      </c>
    </row>
    <row r="28">
      <c r="A28" s="10" t="str">
        <f>IFERROR(__xludf.DUMMYFUNCTION("""COMPUTED_VALUE"""),"classics")</f>
        <v>classics</v>
      </c>
      <c r="B28" s="10" t="str">
        <f>IFERROR(__xludf.DUMMYFUNCTION("IF(ISBLANK(A28),"""",TEXTJOIN("", "", TRUE, FILTER('Primo by Librarian'!C:C, REGEXMATCH('Primo by Librarian'!D:D, ""(?i)(^|;)"" &amp; A28 &amp; ""(;|$)""))))
"),"Rob O'Brien Withers")</f>
        <v>Rob O'Brien Withers</v>
      </c>
    </row>
    <row r="29">
      <c r="A29" s="10" t="str">
        <f>IFERROR(__xludf.DUMMYFUNCTION("""COMPUTED_VALUE"""),"commerce")</f>
        <v>commerce</v>
      </c>
      <c r="B29" s="10" t="str">
        <f>IFERROR(__xludf.DUMMYFUNCTION("IF(ISBLANK(A29),"""",TEXTJOIN("", "", TRUE, FILTER('Primo by Librarian'!C:C, REGEXMATCH('Primo by Librarian'!D:D, ""(?i)(^|;)"" &amp; A29 &amp; ""(;|$)""))))
"),"John Burke")</f>
        <v>John Burke</v>
      </c>
    </row>
    <row r="30">
      <c r="A30" s="10" t="str">
        <f>IFERROR(__xludf.DUMMYFUNCTION("""COMPUTED_VALUE"""),"communication")</f>
        <v>communication</v>
      </c>
      <c r="B30" s="10" t="str">
        <f>IFERROR(__xludf.DUMMYFUNCTION("IF(ISBLANK(A30),"""",TEXTJOIN("", "", TRUE, FILTER('Primo by Librarian'!C:C, REGEXMATCH('Primo by Librarian'!D:D, ""(?i)(^|;)"" &amp; A30 &amp; ""(;|$)""))))
"),"Mark Shores")</f>
        <v>Mark Shores</v>
      </c>
    </row>
    <row r="31">
      <c r="A31" s="10" t="str">
        <f>IFERROR(__xludf.DUMMYFUNCTION("""COMPUTED_VALUE"""),"community arts")</f>
        <v>community arts</v>
      </c>
      <c r="B31" s="10" t="str">
        <f>IFERROR(__xludf.DUMMYFUNCTION("IF(ISBLANK(A31),"""",TEXTJOIN("", "", TRUE, FILTER('Primo by Librarian'!C:C, REGEXMATCH('Primo by Librarian'!D:D, ""(?i)(^|;)"" &amp; A31 &amp; ""(;|$)""))))
"),"Krista McDonald")</f>
        <v>Krista McDonald</v>
      </c>
    </row>
    <row r="32">
      <c r="A32" s="10" t="str">
        <f>IFERROR(__xludf.DUMMYFUNCTION("""COMPUTED_VALUE"""),"composition")</f>
        <v>composition</v>
      </c>
      <c r="B32" s="10" t="str">
        <f>IFERROR(__xludf.DUMMYFUNCTION("IF(ISBLANK(A32),"""",TEXTJOIN("", "", TRUE, FILTER('Primo by Librarian'!C:C, REGEXMATCH('Primo by Librarian'!D:D, ""(?i)(^|;)"" &amp; A32 &amp; ""(;|$)""))))
"),"Mark Dahlquist")</f>
        <v>Mark Dahlquist</v>
      </c>
    </row>
    <row r="33">
      <c r="A33" s="10" t="str">
        <f>IFERROR(__xludf.DUMMYFUNCTION("""COMPUTED_VALUE"""),"computer engineering")</f>
        <v>computer engineering</v>
      </c>
      <c r="B33" s="10" t="str">
        <f>IFERROR(__xludf.DUMMYFUNCTION("IF(ISBLANK(A33),"""",TEXTJOIN("", "", TRUE, FILTER('Primo by Librarian'!C:C, REGEXMATCH('Primo by Librarian'!D:D, ""(?i)(^|;)"" &amp; A33 &amp; ""(;|$)""))))
"),"Roger Justus")</f>
        <v>Roger Justus</v>
      </c>
    </row>
    <row r="34">
      <c r="A34" s="10" t="str">
        <f>IFERROR(__xludf.DUMMYFUNCTION("""COMPUTED_VALUE"""),"computer science")</f>
        <v>computer science</v>
      </c>
      <c r="B34" s="10" t="str">
        <f>IFERROR(__xludf.DUMMYFUNCTION("IF(ISBLANK(A34),"""",TEXTJOIN("", "", TRUE, FILTER('Primo by Librarian'!C:C, REGEXMATCH('Primo by Librarian'!D:D, ""(?i)(^|;)"" &amp; A34 &amp; ""(;|$)""))))
"),"Mark Shores, Roger Justus")</f>
        <v>Mark Shores, Roger Justus</v>
      </c>
    </row>
    <row r="35">
      <c r="A35" s="10" t="str">
        <f>IFERROR(__xludf.DUMMYFUNCTION("""COMPUTED_VALUE"""),"creative writing")</f>
        <v>creative writing</v>
      </c>
      <c r="B35" s="10" t="str">
        <f>IFERROR(__xludf.DUMMYFUNCTION("IF(ISBLANK(A35),"""",TEXTJOIN("", "", TRUE, FILTER('Primo by Librarian'!C:C, REGEXMATCH('Primo by Librarian'!D:D, ""(?i)(^|;)"" &amp; A35 &amp; ""(;|$)""))))
"),"Mark Dahlquist")</f>
        <v>Mark Dahlquist</v>
      </c>
    </row>
    <row r="36">
      <c r="A36" s="10" t="str">
        <f>IFERROR(__xludf.DUMMYFUNCTION("""COMPUTED_VALUE"""),"criminal justice")</f>
        <v>criminal justice</v>
      </c>
      <c r="B36" s="10" t="str">
        <f>IFERROR(__xludf.DUMMYFUNCTION("IF(ISBLANK(A36),"""",TEXTJOIN("", "", TRUE, FILTER('Primo by Librarian'!C:C, REGEXMATCH('Primo by Librarian'!D:D, ""(?i)(^|;)"" &amp; A36 &amp; ""(;|$)""))))
"),"Mark Shores")</f>
        <v>Mark Shores</v>
      </c>
    </row>
    <row r="37">
      <c r="A37" s="10" t="str">
        <f>IFERROR(__xludf.DUMMYFUNCTION("""COMPUTED_VALUE"""),"criminology")</f>
        <v>criminology</v>
      </c>
      <c r="B37" s="10" t="str">
        <f>IFERROR(__xludf.DUMMYFUNCTION("IF(ISBLANK(A37),"""",TEXTJOIN("", "", TRUE, FILTER('Primo by Librarian'!C:C, REGEXMATCH('Primo by Librarian'!D:D, ""(?i)(^|;)"" &amp; A37 &amp; ""(;|$)""))))
"),"Megan Jaskowiak")</f>
        <v>Megan Jaskowiak</v>
      </c>
    </row>
    <row r="38">
      <c r="A38" s="10" t="str">
        <f>IFERROR(__xludf.DUMMYFUNCTION("""COMPUTED_VALUE"""),"data analytics")</f>
        <v>data analytics</v>
      </c>
      <c r="B38" s="10" t="str">
        <f>IFERROR(__xludf.DUMMYFUNCTION("IF(ISBLANK(A38),"""",TEXTJOIN("", "", TRUE, FILTER('Primo by Librarian'!C:C, REGEXMATCH('Primo by Librarian'!D:D, ""(?i)(^|;)"" &amp; A38 &amp; ""(;|$)""))))
"),"Roger Justus")</f>
        <v>Roger Justus</v>
      </c>
    </row>
    <row r="39">
      <c r="A39" s="10" t="str">
        <f>IFERROR(__xludf.DUMMYFUNCTION("""COMPUTED_VALUE"""),"data services")</f>
        <v>data services</v>
      </c>
      <c r="B39" s="10" t="str">
        <f>IFERROR(__xludf.DUMMYFUNCTION("IF(ISBLANK(A39),"""",TEXTJOIN("", "", TRUE, FILTER('Primo by Librarian'!C:C, REGEXMATCH('Primo by Librarian'!D:D, ""(?i)(^|;)"" &amp; A39 &amp; ""(;|$)""))))
"),"Roger Justus")</f>
        <v>Roger Justus</v>
      </c>
    </row>
    <row r="40">
      <c r="A40" s="10" t="str">
        <f>IFERROR(__xludf.DUMMYFUNCTION("""COMPUTED_VALUE"""),"design thinking")</f>
        <v>design thinking</v>
      </c>
      <c r="B40" s="10" t="str">
        <f>IFERROR(__xludf.DUMMYFUNCTION("IF(ISBLANK(A40),"""",TEXTJOIN("", "", TRUE, FILTER('Primo by Librarian'!C:C, REGEXMATCH('Primo by Librarian'!D:D, ""(?i)(^|;)"" &amp; A40 &amp; ""(;|$)""))))
"),"Sarah Nagle")</f>
        <v>Sarah Nagle</v>
      </c>
    </row>
    <row r="41">
      <c r="A41" s="10" t="str">
        <f>IFERROR(__xludf.DUMMYFUNCTION("""COMPUTED_VALUE"""),"digital humanities")</f>
        <v>digital humanities</v>
      </c>
      <c r="B41" s="10" t="str">
        <f>IFERROR(__xludf.DUMMYFUNCTION("IF(ISBLANK(A41),"""",TEXTJOIN("", "", TRUE, FILTER('Primo by Librarian'!C:C, REGEXMATCH('Primo by Librarian'!D:D, ""(?i)(^|;)"" &amp; A41 &amp; ""(;|$)""))))
"),"Mark Dahlquist")</f>
        <v>Mark Dahlquist</v>
      </c>
    </row>
    <row r="42">
      <c r="A42" s="10" t="str">
        <f>IFERROR(__xludf.DUMMYFUNCTION("""COMPUTED_VALUE"""),"disability studies")</f>
        <v>disability studies</v>
      </c>
      <c r="B42" s="10" t="str">
        <f>IFERROR(__xludf.DUMMYFUNCTION("IF(ISBLANK(A42),"""",TEXTJOIN("", "", TRUE, FILTER('Primo by Librarian'!C:C, REGEXMATCH('Primo by Librarian'!D:D, ""(?i)(^|;)"" &amp; A42 &amp; ""(;|$)""))))
"),"Jaclyn Spraetz")</f>
        <v>Jaclyn Spraetz</v>
      </c>
    </row>
    <row r="43">
      <c r="A43" s="10" t="str">
        <f>IFERROR(__xludf.DUMMYFUNCTION("""COMPUTED_VALUE"""),"economics")</f>
        <v>economics</v>
      </c>
      <c r="B43" s="10" t="str">
        <f>IFERROR(__xludf.DUMMYFUNCTION("IF(ISBLANK(A43),"""",TEXTJOIN("", "", TRUE, FILTER('Primo by Librarian'!C:C, REGEXMATCH('Primo by Librarian'!D:D, ""(?i)(^|;)"" &amp; A43 &amp; ""(;|$)""))))
"),"Abigail Morgan")</f>
        <v>Abigail Morgan</v>
      </c>
    </row>
    <row r="44">
      <c r="A44" s="10" t="str">
        <f>IFERROR(__xludf.DUMMYFUNCTION("""COMPUTED_VALUE"""),"education")</f>
        <v>education</v>
      </c>
      <c r="B44" s="10" t="str">
        <f>IFERROR(__xludf.DUMMYFUNCTION("IF(ISBLANK(A44),"""",TEXTJOIN("", "", TRUE, FILTER('Primo by Librarian'!C:C, REGEXMATCH('Primo by Librarian'!D:D, ""(?i)(^|;)"" &amp; A44 &amp; ""(;|$)""))))
"),"Abigail Morgan, Jaclyn Spraetz, Krista McDonald")</f>
        <v>Abigail Morgan, Jaclyn Spraetz, Krista McDonald</v>
      </c>
    </row>
    <row r="45">
      <c r="A45" s="10" t="str">
        <f>IFERROR(__xludf.DUMMYFUNCTION("""COMPUTED_VALUE"""),"educational leadership")</f>
        <v>educational leadership</v>
      </c>
      <c r="B45" s="10" t="str">
        <f>IFERROR(__xludf.DUMMYFUNCTION("IF(ISBLANK(A45),"""",TEXTJOIN("", "", TRUE, FILTER('Primo by Librarian'!C:C, REGEXMATCH('Primo by Librarian'!D:D, ""(?i)(^|;)"" &amp; A45 &amp; ""(;|$)""))))
"),"Jaclyn Spraetz")</f>
        <v>Jaclyn Spraetz</v>
      </c>
    </row>
    <row r="46">
      <c r="A46" s="10" t="str">
        <f>IFERROR(__xludf.DUMMYFUNCTION("""COMPUTED_VALUE"""),"educational policy")</f>
        <v>educational policy</v>
      </c>
      <c r="B46" s="10" t="str">
        <f>IFERROR(__xludf.DUMMYFUNCTION("IF(ISBLANK(A46),"""",TEXTJOIN("", "", TRUE, FILTER('Primo by Librarian'!C:C, REGEXMATCH('Primo by Librarian'!D:D, ""(?i)(^|;)"" &amp; A46 &amp; ""(;|$)""))))
"),"Jaclyn Spraetz")</f>
        <v>Jaclyn Spraetz</v>
      </c>
    </row>
    <row r="47">
      <c r="A47" s="10" t="str">
        <f>IFERROR(__xludf.DUMMYFUNCTION("""COMPUTED_VALUE"""),"electrical engineering")</f>
        <v>electrical engineering</v>
      </c>
      <c r="B47" s="10" t="str">
        <f>IFERROR(__xludf.DUMMYFUNCTION("IF(ISBLANK(A47),"""",TEXTJOIN("", "", TRUE, FILTER('Primo by Librarian'!C:C, REGEXMATCH('Primo by Librarian'!D:D, ""(?i)(^|;)"" &amp; A47 &amp; ""(;|$)""))))
"),"Roger Justus")</f>
        <v>Roger Justus</v>
      </c>
    </row>
    <row r="48">
      <c r="A48" s="10" t="str">
        <f>IFERROR(__xludf.DUMMYFUNCTION("""COMPUTED_VALUE"""),"emerging technologies in business and design")</f>
        <v>emerging technologies in business and design</v>
      </c>
      <c r="B48" s="10" t="str">
        <f>IFERROR(__xludf.DUMMYFUNCTION("IF(ISBLANK(A48),"""",TEXTJOIN("", "", TRUE, FILTER('Primo by Librarian'!C:C, REGEXMATCH('Primo by Librarian'!D:D, ""(?i)(^|;)"" &amp; A48 &amp; ""(;|$)""))))
"),"Nate Floyd")</f>
        <v>Nate Floyd</v>
      </c>
    </row>
    <row r="49">
      <c r="A49" s="10" t="str">
        <f>IFERROR(__xludf.DUMMYFUNCTION("""COMPUTED_VALUE"""),"engineering")</f>
        <v>engineering</v>
      </c>
      <c r="B49" s="10" t="str">
        <f>IFERROR(__xludf.DUMMYFUNCTION("IF(ISBLANK(A49),"""",TEXTJOIN("", "", TRUE, FILTER('Primo by Librarian'!C:C, REGEXMATCH('Primo by Librarian'!D:D, ""(?i)(^|;)"" &amp; A49 &amp; ""(;|$)""))))
"),"Krista McDonald")</f>
        <v>Krista McDonald</v>
      </c>
    </row>
    <row r="50">
      <c r="A50" s="10" t="str">
        <f>IFERROR(__xludf.DUMMYFUNCTION("""COMPUTED_VALUE"""),"english")</f>
        <v>english</v>
      </c>
      <c r="B50" s="10" t="str">
        <f>IFERROR(__xludf.DUMMYFUNCTION("IF(ISBLANK(A50),"""",TEXTJOIN("", "", TRUE, FILTER('Primo by Librarian'!C:C, REGEXMATCH('Primo by Librarian'!D:D, ""(?i)(^|;)"" &amp; A50 &amp; ""(;|$)""))))
"),"John Burke, Mark Dahlquist")</f>
        <v>John Burke, Mark Dahlquist</v>
      </c>
    </row>
    <row r="51">
      <c r="A51" s="10" t="str">
        <f>IFERROR(__xludf.DUMMYFUNCTION("""COMPUTED_VALUE"""),"english studies")</f>
        <v>english studies</v>
      </c>
      <c r="B51" s="10" t="str">
        <f>IFERROR(__xludf.DUMMYFUNCTION("IF(ISBLANK(A51),"""",TEXTJOIN("", "", TRUE, FILTER('Primo by Librarian'!C:C, REGEXMATCH('Primo by Librarian'!D:D, ""(?i)(^|;)"" &amp; A51 &amp; ""(;|$)""))))
"),"Mark Shores")</f>
        <v>Mark Shores</v>
      </c>
    </row>
    <row r="52">
      <c r="A52" s="10" t="str">
        <f>IFERROR(__xludf.DUMMYFUNCTION("""COMPUTED_VALUE"""),"entrepreneurship")</f>
        <v>entrepreneurship</v>
      </c>
      <c r="B52" s="10" t="str">
        <f>IFERROR(__xludf.DUMMYFUNCTION("IF(ISBLANK(A52),"""",TEXTJOIN("", "", TRUE, FILTER('Primo by Librarian'!C:C, REGEXMATCH('Primo by Librarian'!D:D, ""(?i)(^|;)"" &amp; A52 &amp; ""(;|$)""))))
"),"Abigail Morgan")</f>
        <v>Abigail Morgan</v>
      </c>
    </row>
    <row r="53">
      <c r="A53" s="10" t="str">
        <f>IFERROR(__xludf.DUMMYFUNCTION("""COMPUTED_VALUE"""),"environmental sciences")</f>
        <v>environmental sciences</v>
      </c>
      <c r="B53" s="10" t="str">
        <f>IFERROR(__xludf.DUMMYFUNCTION("IF(ISBLANK(A53),"""",TEXTJOIN("", "", TRUE, FILTER('Primo by Librarian'!C:C, REGEXMATCH('Primo by Librarian'!D:D, ""(?i)(^|;)"" &amp; A53 &amp; ""(;|$)""))))
"),"Ginny Boehme")</f>
        <v>Ginny Boehme</v>
      </c>
    </row>
    <row r="54">
      <c r="A54" s="10" t="str">
        <f>IFERROR(__xludf.DUMMYFUNCTION("""COMPUTED_VALUE"""),"etbd")</f>
        <v>etbd</v>
      </c>
      <c r="B54" s="10" t="str">
        <f>IFERROR(__xludf.DUMMYFUNCTION("IF(ISBLANK(A54),"""",TEXTJOIN("", "", TRUE, FILTER('Primo by Librarian'!C:C, REGEXMATCH('Primo by Librarian'!D:D, ""(?i)(^|;)"" &amp; A54 &amp; ""(;|$)""))))
"),"Nate Floyd")</f>
        <v>Nate Floyd</v>
      </c>
    </row>
    <row r="55">
      <c r="A55" s="10" t="str">
        <f>IFERROR(__xludf.DUMMYFUNCTION("""COMPUTED_VALUE"""),"family science")</f>
        <v>family science</v>
      </c>
      <c r="B55" s="10" t="str">
        <f>IFERROR(__xludf.DUMMYFUNCTION("IF(ISBLANK(A55),"""",TEXTJOIN("", "", TRUE, FILTER('Primo by Librarian'!C:C, REGEXMATCH('Primo by Librarian'!D:D, ""(?i)(^|;)"" &amp; A55 &amp; ""(;|$)""))))
"),"Brea McQueen")</f>
        <v>Brea McQueen</v>
      </c>
    </row>
    <row r="56">
      <c r="A56" s="10" t="str">
        <f>IFERROR(__xludf.DUMMYFUNCTION("""COMPUTED_VALUE"""),"family science and social work")</f>
        <v>family science and social work</v>
      </c>
      <c r="B56" s="10" t="str">
        <f>IFERROR(__xludf.DUMMYFUNCTION("IF(ISBLANK(A56),"""",TEXTJOIN("", "", TRUE, FILTER('Primo by Librarian'!C:C, REGEXMATCH('Primo by Librarian'!D:D, ""(?i)(^|;)"" &amp; A56 &amp; ""(;|$)""))))
"),"Megan Jaskowiak")</f>
        <v>Megan Jaskowiak</v>
      </c>
    </row>
    <row r="57">
      <c r="A57" s="10" t="str">
        <f>IFERROR(__xludf.DUMMYFUNCTION("""COMPUTED_VALUE"""),"film")</f>
        <v>film</v>
      </c>
      <c r="B57" s="10" t="str">
        <f>IFERROR(__xludf.DUMMYFUNCTION("IF(ISBLANK(A57),"""",TEXTJOIN("", "", TRUE, FILTER('Primo by Librarian'!C:C, REGEXMATCH('Primo by Librarian'!D:D, ""(?i)(^|;)"" &amp; A57 &amp; ""(;|$)""))))
"),"Mark Dahlquist")</f>
        <v>Mark Dahlquist</v>
      </c>
    </row>
    <row r="58">
      <c r="A58" s="10" t="str">
        <f>IFERROR(__xludf.DUMMYFUNCTION("""COMPUTED_VALUE"""),"finance")</f>
        <v>finance</v>
      </c>
      <c r="B58" s="10" t="str">
        <f>IFERROR(__xludf.DUMMYFUNCTION("IF(ISBLANK(A58),"""",TEXTJOIN("", "", TRUE, FILTER('Primo by Librarian'!C:C, REGEXMATCH('Primo by Librarian'!D:D, ""(?i)(^|;)"" &amp; A58 &amp; ""(;|$)""))))
"),"Abigail Morgan, Mark Shores")</f>
        <v>Abigail Morgan, Mark Shores</v>
      </c>
    </row>
    <row r="59">
      <c r="A59" s="10" t="str">
        <f>IFERROR(__xludf.DUMMYFUNCTION("""COMPUTED_VALUE"""),"forensic investigation")</f>
        <v>forensic investigation</v>
      </c>
      <c r="B59" s="10" t="str">
        <f>IFERROR(__xludf.DUMMYFUNCTION("IF(ISBLANK(A59),"""",TEXTJOIN("", "", TRUE, FILTER('Primo by Librarian'!C:C, REGEXMATCH('Primo by Librarian'!D:D, ""(?i)(^|;)"" &amp; A59 &amp; ""(;|$)""))))
"),"Mark Shores")</f>
        <v>Mark Shores</v>
      </c>
    </row>
    <row r="60">
      <c r="A60" s="10" t="str">
        <f>IFERROR(__xludf.DUMMYFUNCTION("""COMPUTED_VALUE"""),"forensic science")</f>
        <v>forensic science</v>
      </c>
      <c r="B60" s="10" t="str">
        <f>IFERROR(__xludf.DUMMYFUNCTION("IF(ISBLANK(A60),"""",TEXTJOIN("", "", TRUE, FILTER('Primo by Librarian'!C:C, REGEXMATCH('Primo by Librarian'!D:D, ""(?i)(^|;)"" &amp; A60 &amp; ""(;|$)""))))
"),"Mark Shores")</f>
        <v>Mark Shores</v>
      </c>
    </row>
    <row r="61">
      <c r="A61" s="10" t="str">
        <f>IFERROR(__xludf.DUMMYFUNCTION("""COMPUTED_VALUE"""),"french")</f>
        <v>french</v>
      </c>
      <c r="B61" s="10" t="str">
        <f>IFERROR(__xludf.DUMMYFUNCTION("IF(ISBLANK(A61),"""",TEXTJOIN("", "", TRUE, FILTER('Primo by Librarian'!C:C, REGEXMATCH('Primo by Librarian'!D:D, ""(?i)(^|;)"" &amp; A61 &amp; ""(;|$)""))))
"),"Katie Gibson")</f>
        <v>Katie Gibson</v>
      </c>
    </row>
    <row r="62">
      <c r="A62" s="10" t="str">
        <f>IFERROR(__xludf.DUMMYFUNCTION("""COMPUTED_VALUE"""),"gender studies")</f>
        <v>gender studies</v>
      </c>
      <c r="B62" s="10" t="str">
        <f>IFERROR(__xludf.DUMMYFUNCTION("IF(ISBLANK(A62),"""",TEXTJOIN("", "", TRUE, FILTER('Primo by Librarian'!C:C, REGEXMATCH('Primo by Librarian'!D:D, ""(?i)(^|;)"" &amp; A62 &amp; ""(;|$)""))))
"),"Jenny Presnell")</f>
        <v>Jenny Presnell</v>
      </c>
    </row>
    <row r="63">
      <c r="A63" s="10" t="str">
        <f>IFERROR(__xludf.DUMMYFUNCTION("""COMPUTED_VALUE"""),"genealogy")</f>
        <v>genealogy</v>
      </c>
      <c r="B63" s="10" t="str">
        <f>IFERROR(__xludf.DUMMYFUNCTION("IF(ISBLANK(A63),"""",TEXTJOIN("", "", TRUE, FILTER('Primo by Librarian'!C:C, REGEXMATCH('Primo by Librarian'!D:D, ""(?i)(^|;)"" &amp; A63 &amp; ""(;|$)""))))
"),"Jenny Presnell")</f>
        <v>Jenny Presnell</v>
      </c>
    </row>
    <row r="64">
      <c r="A64" s="10" t="str">
        <f>IFERROR(__xludf.DUMMYFUNCTION("""COMPUTED_VALUE"""),"geography")</f>
        <v>geography</v>
      </c>
      <c r="B64" s="10" t="str">
        <f>IFERROR(__xludf.DUMMYFUNCTION("IF(ISBLANK(A64),"""",TEXTJOIN("", "", TRUE, FILTER('Primo by Librarian'!C:C, REGEXMATCH('Primo by Librarian'!D:D, ""(?i)(^|;)"" &amp; A64 &amp; ""(;|$)""))))
"),"Krista McDonald, Kristen Adams")</f>
        <v>Krista McDonald, Kristen Adams</v>
      </c>
    </row>
    <row r="65">
      <c r="A65" s="10" t="str">
        <f>IFERROR(__xludf.DUMMYFUNCTION("""COMPUTED_VALUE"""),"geology")</f>
        <v>geology</v>
      </c>
      <c r="B65" s="10" t="str">
        <f>IFERROR(__xludf.DUMMYFUNCTION("IF(ISBLANK(A65),"""",TEXTJOIN("", "", TRUE, FILTER('Primo by Librarian'!C:C, REGEXMATCH('Primo by Librarian'!D:D, ""(?i)(^|;)"" &amp; A65 &amp; ""(;|$)""))))
"),"Kristen Adams")</f>
        <v>Kristen Adams</v>
      </c>
    </row>
    <row r="66">
      <c r="A66" s="10" t="str">
        <f>IFERROR(__xludf.DUMMYFUNCTION("""COMPUTED_VALUE"""),"german")</f>
        <v>german</v>
      </c>
      <c r="B66" s="10" t="str">
        <f>IFERROR(__xludf.DUMMYFUNCTION("IF(ISBLANK(A66),"""",TEXTJOIN("", "", TRUE, FILTER('Primo by Librarian'!C:C, REGEXMATCH('Primo by Librarian'!D:D, ""(?i)(^|;)"" &amp; A66 &amp; ""(;|$)""))))
"),"Katie Gibson")</f>
        <v>Katie Gibson</v>
      </c>
    </row>
    <row r="67">
      <c r="A67" s="10" t="str">
        <f>IFERROR(__xludf.DUMMYFUNCTION("""COMPUTED_VALUE"""),"gerontology")</f>
        <v>gerontology</v>
      </c>
      <c r="B67" s="10" t="str">
        <f>IFERROR(__xludf.DUMMYFUNCTION("IF(ISBLANK(A67),"""",TEXTJOIN("", "", TRUE, FILTER('Primo by Librarian'!C:C, REGEXMATCH('Primo by Librarian'!D:D, ""(?i)(^|;)"" &amp; A67 &amp; ""(;|$)""))))
"),"Megan Jaskowiak")</f>
        <v>Megan Jaskowiak</v>
      </c>
    </row>
    <row r="68">
      <c r="A68" s="10" t="str">
        <f>IFERROR(__xludf.DUMMYFUNCTION("""COMPUTED_VALUE"""),"global studies")</f>
        <v>global studies</v>
      </c>
      <c r="B68" s="10" t="str">
        <f>IFERROR(__xludf.DUMMYFUNCTION("IF(ISBLANK(A68),"""",TEXTJOIN("", "", TRUE, FILTER('Primo by Librarian'!C:C, REGEXMATCH('Primo by Librarian'!D:D, ""(?i)(^|;)"" &amp; A68 &amp; ""(;|$)""))))
"),"Nate Floyd")</f>
        <v>Nate Floyd</v>
      </c>
    </row>
    <row r="69">
      <c r="A69" s="10" t="str">
        <f>IFERROR(__xludf.DUMMYFUNCTION("""COMPUTED_VALUE"""),"government information")</f>
        <v>government information</v>
      </c>
      <c r="B69" s="10" t="str">
        <f>IFERROR(__xludf.DUMMYFUNCTION("IF(ISBLANK(A69),"""",TEXTJOIN("", "", TRUE, FILTER('Primo by Librarian'!C:C, REGEXMATCH('Primo by Librarian'!D:D, ""(?i)(^|;)"" &amp; A69 &amp; ""(;|$)""))))
"),"Jenny Presnell")</f>
        <v>Jenny Presnell</v>
      </c>
    </row>
    <row r="70">
      <c r="A70" s="10" t="str">
        <f>IFERROR(__xludf.DUMMYFUNCTION("""COMPUTED_VALUE"""),"greek")</f>
        <v>greek</v>
      </c>
      <c r="B70" s="10" t="str">
        <f>IFERROR(__xludf.DUMMYFUNCTION("IF(ISBLANK(A70),"""",TEXTJOIN("", "", TRUE, FILTER('Primo by Librarian'!C:C, REGEXMATCH('Primo by Librarian'!D:D, ""(?i)(^|;)"" &amp; A70 &amp; ""(;|$)""))))
"),"Rob O'Brien Withers")</f>
        <v>Rob O'Brien Withers</v>
      </c>
    </row>
    <row r="71">
      <c r="A71" s="10" t="str">
        <f>IFERROR(__xludf.DUMMYFUNCTION("""COMPUTED_VALUE"""),"hamilton library")</f>
        <v>hamilton library</v>
      </c>
      <c r="B71" s="10" t="str">
        <f>IFERROR(__xludf.DUMMYFUNCTION("IF(ISBLANK(A71),"""",TEXTJOIN("", "", TRUE, FILTER('Primo by Librarian'!C:C, REGEXMATCH('Primo by Librarian'!D:D, ""(?i)(^|;)"" &amp; A71 &amp; ""(;|$)""))))
"),"Krista McDonald")</f>
        <v>Krista McDonald</v>
      </c>
    </row>
    <row r="72">
      <c r="A72" s="10" t="str">
        <f>IFERROR(__xludf.DUMMYFUNCTION("""COMPUTED_VALUE"""),"health communication")</f>
        <v>health communication</v>
      </c>
      <c r="B72" s="10" t="str">
        <f>IFERROR(__xludf.DUMMYFUNCTION("IF(ISBLANK(A72),"""",TEXTJOIN("", "", TRUE, FILTER('Primo by Librarian'!C:C, REGEXMATCH('Primo by Librarian'!D:D, ""(?i)(^|;)"" &amp; A72 &amp; ""(;|$)""))))
"),"Mark Shores")</f>
        <v>Mark Shores</v>
      </c>
    </row>
    <row r="73">
      <c r="A73" s="10" t="str">
        <f>IFERROR(__xludf.DUMMYFUNCTION("""COMPUTED_VALUE"""),"health information technology")</f>
        <v>health information technology</v>
      </c>
      <c r="B73" s="10" t="str">
        <f>IFERROR(__xludf.DUMMYFUNCTION("IF(ISBLANK(A73),"""",TEXTJOIN("", "", TRUE, FILTER('Primo by Librarian'!C:C, REGEXMATCH('Primo by Librarian'!D:D, ""(?i)(^|;)"" &amp; A73 &amp; ""(;|$)""))))
"),"Mark Shores")</f>
        <v>Mark Shores</v>
      </c>
    </row>
    <row r="74">
      <c r="A74" s="10" t="str">
        <f>IFERROR(__xludf.DUMMYFUNCTION("""COMPUTED_VALUE"""),"history")</f>
        <v>history</v>
      </c>
      <c r="B74" s="10" t="str">
        <f>IFERROR(__xludf.DUMMYFUNCTION("IF(ISBLANK(A74),"""",TEXTJOIN("", "", TRUE, FILTER('Primo by Librarian'!C:C, REGEXMATCH('Primo by Librarian'!D:D, ""(?i)(^|;)"" &amp; A74 &amp; ""(;|$)""))))
"),"Jenny Presnell, Mark Shores")</f>
        <v>Jenny Presnell, Mark Shores</v>
      </c>
    </row>
    <row r="75">
      <c r="A75" s="10" t="str">
        <f>IFERROR(__xludf.DUMMYFUNCTION("""COMPUTED_VALUE"""),"humanities")</f>
        <v>humanities</v>
      </c>
      <c r="B75" s="10" t="str">
        <f>IFERROR(__xludf.DUMMYFUNCTION("IF(ISBLANK(A75),"""",TEXTJOIN("", "", TRUE, FILTER('Primo by Librarian'!C:C, REGEXMATCH('Primo by Librarian'!D:D, ""(?i)(^|;)"" &amp; A75 &amp; ""(;|$)""))))
"),"Katie Gibson")</f>
        <v>Katie Gibson</v>
      </c>
    </row>
    <row r="76">
      <c r="A76" s="10" t="str">
        <f>IFERROR(__xludf.DUMMYFUNCTION("""COMPUTED_VALUE"""),"ims")</f>
        <v>ims</v>
      </c>
      <c r="B76" s="10" t="str">
        <f>IFERROR(__xludf.DUMMYFUNCTION("IF(ISBLANK(A76),"""",TEXTJOIN("", "", TRUE, FILTER('Primo by Librarian'!C:C, REGEXMATCH('Primo by Librarian'!D:D, ""(?i)(^|;)"" &amp; A76 &amp; ""(;|$)""))))
"),"Nate Floyd")</f>
        <v>Nate Floyd</v>
      </c>
    </row>
    <row r="77">
      <c r="A77" s="10" t="str">
        <f>IFERROR(__xludf.DUMMYFUNCTION("""COMPUTED_VALUE"""),"individualized studies")</f>
        <v>individualized studies</v>
      </c>
      <c r="B77" s="10" t="str">
        <f>IFERROR(__xludf.DUMMYFUNCTION("IF(ISBLANK(A77),"""",TEXTJOIN("", "", TRUE, FILTER('Primo by Librarian'!C:C, REGEXMATCH('Primo by Librarian'!D:D, ""(?i)(^|;)"" &amp; A77 &amp; ""(;|$)""))))
"),"Katie Gibson")</f>
        <v>Katie Gibson</v>
      </c>
    </row>
    <row r="78">
      <c r="A78" s="10" t="str">
        <f>IFERROR(__xludf.DUMMYFUNCTION("""COMPUTED_VALUE"""),"information systems")</f>
        <v>information systems</v>
      </c>
      <c r="B78" s="10" t="str">
        <f>IFERROR(__xludf.DUMMYFUNCTION("IF(ISBLANK(A78),"""",TEXTJOIN("", "", TRUE, FILTER('Primo by Librarian'!C:C, REGEXMATCH('Primo by Librarian'!D:D, ""(?i)(^|;)"" &amp; A78 &amp; ""(;|$)""))))
"),"Roger Justus")</f>
        <v>Roger Justus</v>
      </c>
    </row>
    <row r="79">
      <c r="A79" s="10" t="str">
        <f>IFERROR(__xludf.DUMMYFUNCTION("""COMPUTED_VALUE"""),"innovation")</f>
        <v>innovation</v>
      </c>
      <c r="B79" s="10" t="str">
        <f>IFERROR(__xludf.DUMMYFUNCTION("IF(ISBLANK(A79),"""",TEXTJOIN("", "", TRUE, FILTER('Primo by Librarian'!C:C, REGEXMATCH('Primo by Librarian'!D:D, ""(?i)(^|;)"" &amp; A79 &amp; ""(;|$)""))))
"),"Sarah Nagle")</f>
        <v>Sarah Nagle</v>
      </c>
    </row>
    <row r="80">
      <c r="A80" s="10" t="str">
        <f>IFERROR(__xludf.DUMMYFUNCTION("""COMPUTED_VALUE"""),"instructional technologies")</f>
        <v>instructional technologies</v>
      </c>
      <c r="B80" s="10" t="str">
        <f>IFERROR(__xludf.DUMMYFUNCTION("IF(ISBLANK(A80),"""",TEXTJOIN("", "", TRUE, FILTER('Primo by Librarian'!C:C, REGEXMATCH('Primo by Librarian'!D:D, ""(?i)(^|;)"" &amp; A80 &amp; ""(;|$)""))))
"),"Andy Revelle")</f>
        <v>Andy Revelle</v>
      </c>
    </row>
    <row r="81">
      <c r="A81" s="10" t="str">
        <f>IFERROR(__xludf.DUMMYFUNCTION("""COMPUTED_VALUE"""),"integrative studies")</f>
        <v>integrative studies</v>
      </c>
      <c r="B81" s="10" t="str">
        <f>IFERROR(__xludf.DUMMYFUNCTION("IF(ISBLANK(A81),"""",TEXTJOIN("", "", TRUE, FILTER('Primo by Librarian'!C:C, REGEXMATCH('Primo by Librarian'!D:D, ""(?i)(^|;)"" &amp; A81 &amp; ""(;|$)""))))
"),"Mark Shores")</f>
        <v>Mark Shores</v>
      </c>
    </row>
    <row r="82">
      <c r="A82" s="10" t="str">
        <f>IFERROR(__xludf.DUMMYFUNCTION("""COMPUTED_VALUE"""),"interactive media studies")</f>
        <v>interactive media studies</v>
      </c>
      <c r="B82" s="10" t="str">
        <f>IFERROR(__xludf.DUMMYFUNCTION("IF(ISBLANK(A82),"""",TEXTJOIN("", "", TRUE, FILTER('Primo by Librarian'!C:C, REGEXMATCH('Primo by Librarian'!D:D, ""(?i)(^|;)"" &amp; A82 &amp; ""(;|$)""))))
"),"Nate Floyd")</f>
        <v>Nate Floyd</v>
      </c>
    </row>
    <row r="83">
      <c r="A83" s="10" t="str">
        <f>IFERROR(__xludf.DUMMYFUNCTION("""COMPUTED_VALUE"""),"intercultural studies")</f>
        <v>intercultural studies</v>
      </c>
      <c r="B83" s="10" t="str">
        <f>IFERROR(__xludf.DUMMYFUNCTION("IF(ISBLANK(A83),"""",TEXTJOIN("", "", TRUE, FILTER('Primo by Librarian'!C:C, REGEXMATCH('Primo by Librarian'!D:D, ""(?i)(^|;)"" &amp; A83 &amp; ""(;|$)""))))
"),"Nate Floyd")</f>
        <v>Nate Floyd</v>
      </c>
    </row>
    <row r="84">
      <c r="A84" s="10" t="str">
        <f>IFERROR(__xludf.DUMMYFUNCTION("""COMPUTED_VALUE"""),"interior design")</f>
        <v>interior design</v>
      </c>
      <c r="B84" s="10" t="str">
        <f>IFERROR(__xludf.DUMMYFUNCTION("IF(ISBLANK(A84),"""",TEXTJOIN("", "", TRUE, FILTER('Primo by Librarian'!C:C, REGEXMATCH('Primo by Librarian'!D:D, ""(?i)(^|;)"" &amp; A84 &amp; ""(;|$)""))))
"),"Stefanie Hilles")</f>
        <v>Stefanie Hilles</v>
      </c>
    </row>
    <row r="85">
      <c r="A85" s="10" t="str">
        <f>IFERROR(__xludf.DUMMYFUNCTION("""COMPUTED_VALUE"""),"international studies")</f>
        <v>international studies</v>
      </c>
      <c r="B85" s="10" t="str">
        <f>IFERROR(__xludf.DUMMYFUNCTION("IF(ISBLANK(A85),"""",TEXTJOIN("", "", TRUE, FILTER('Primo by Librarian'!C:C, REGEXMATCH('Primo by Librarian'!D:D, ""(?i)(^|;)"" &amp; A85 &amp; ""(;|$)""))))
"),"Katie Gibson")</f>
        <v>Katie Gibson</v>
      </c>
    </row>
    <row r="86">
      <c r="A86" s="10" t="str">
        <f>IFERROR(__xludf.DUMMYFUNCTION("""COMPUTED_VALUE"""),"islamic studies")</f>
        <v>islamic studies</v>
      </c>
      <c r="B86" s="10" t="str">
        <f>IFERROR(__xludf.DUMMYFUNCTION("IF(ISBLANK(A86),"""",TEXTJOIN("", "", TRUE, FILTER('Primo by Librarian'!C:C, REGEXMATCH('Primo by Librarian'!D:D, ""(?i)(^|;)"" &amp; A86 &amp; ""(;|$)""))))
"),"Katie Gibson")</f>
        <v>Katie Gibson</v>
      </c>
    </row>
    <row r="87">
      <c r="A87" s="10" t="str">
        <f>IFERROR(__xludf.DUMMYFUNCTION("""COMPUTED_VALUE"""),"italian")</f>
        <v>italian</v>
      </c>
      <c r="B87" s="10" t="str">
        <f>IFERROR(__xludf.DUMMYFUNCTION("IF(ISBLANK(A87),"""",TEXTJOIN("", "", TRUE, FILTER('Primo by Librarian'!C:C, REGEXMATCH('Primo by Librarian'!D:D, ""(?i)(^|;)"" &amp; A87 &amp; ""(;|$)""))))
"),"Katie Gibson")</f>
        <v>Katie Gibson</v>
      </c>
    </row>
    <row r="88">
      <c r="A88" s="10" t="str">
        <f>IFERROR(__xludf.DUMMYFUNCTION("""COMPUTED_VALUE"""),"journalism")</f>
        <v>journalism</v>
      </c>
      <c r="B88" s="10" t="str">
        <f>IFERROR(__xludf.DUMMYFUNCTION("IF(ISBLANK(A88),"""",TEXTJOIN("", "", TRUE, FILTER('Primo by Librarian'!C:C, REGEXMATCH('Primo by Librarian'!D:D, ""(?i)(^|;)"" &amp; A88 &amp; ""(;|$)""))))
"),"Mark Dahlquist")</f>
        <v>Mark Dahlquist</v>
      </c>
    </row>
    <row r="89">
      <c r="A89" s="10" t="str">
        <f>IFERROR(__xludf.DUMMYFUNCTION("""COMPUTED_VALUE"""),"juvenile literature")</f>
        <v>juvenile literature</v>
      </c>
      <c r="B89" s="10" t="str">
        <f>IFERROR(__xludf.DUMMYFUNCTION("IF(ISBLANK(A89),"""",TEXTJOIN("", "", TRUE, FILTER('Primo by Librarian'!C:C, REGEXMATCH('Primo by Librarian'!D:D, ""(?i)(^|;)"" &amp; A89 &amp; ""(;|$)""))))
"),"Abigail Morgan")</f>
        <v>Abigail Morgan</v>
      </c>
    </row>
    <row r="90">
      <c r="A90" s="10" t="str">
        <f>IFERROR(__xludf.DUMMYFUNCTION("""COMPUTED_VALUE"""),"kinesiology, nutrition, and health")</f>
        <v>kinesiology, nutrition, and health</v>
      </c>
      <c r="B90" s="10" t="str">
        <f>IFERROR(__xludf.DUMMYFUNCTION("IF(ISBLANK(A90),"""",TEXTJOIN("", "", TRUE, FILTER('Primo by Librarian'!C:C, REGEXMATCH('Primo by Librarian'!D:D, ""(?i)(^|;)"" &amp; A90 &amp; ""(;|$)""))))
"),"Ginny Boehme")</f>
        <v>Ginny Boehme</v>
      </c>
    </row>
    <row r="91">
      <c r="A91" s="10" t="str">
        <f>IFERROR(__xludf.DUMMYFUNCTION("""COMPUTED_VALUE"""),"language")</f>
        <v>language</v>
      </c>
      <c r="B91" s="10" t="str">
        <f>IFERROR(__xludf.DUMMYFUNCTION("IF(ISBLANK(A91),"""",TEXTJOIN("", "", TRUE, FILTER('Primo by Librarian'!C:C, REGEXMATCH('Primo by Librarian'!D:D, ""(?i)(^|;)"" &amp; A91 &amp; ""(;|$)""))))
"),"Brea McQueen")</f>
        <v>Brea McQueen</v>
      </c>
    </row>
    <row r="92">
      <c r="A92" s="10" t="str">
        <f>IFERROR(__xludf.DUMMYFUNCTION("""COMPUTED_VALUE"""),"latin")</f>
        <v>latin</v>
      </c>
      <c r="B92" s="10" t="str">
        <f>IFERROR(__xludf.DUMMYFUNCTION("IF(ISBLANK(A92),"""",TEXTJOIN("", "", TRUE, FILTER('Primo by Librarian'!C:C, REGEXMATCH('Primo by Librarian'!D:D, ""(?i)(^|;)"" &amp; A92 &amp; ""(;|$)""))))
"),"Rob O'Brien Withers")</f>
        <v>Rob O'Brien Withers</v>
      </c>
    </row>
    <row r="93">
      <c r="A93" s="10" t="str">
        <f>IFERROR(__xludf.DUMMYFUNCTION("""COMPUTED_VALUE"""),"latin american studies")</f>
        <v>latin american studies</v>
      </c>
      <c r="B93" s="10" t="str">
        <f>IFERROR(__xludf.DUMMYFUNCTION("IF(ISBLANK(A93),"""",TEXTJOIN("", "", TRUE, FILTER('Primo by Librarian'!C:C, REGEXMATCH('Primo by Librarian'!D:D, ""(?i)(^|;)"" &amp; A93 &amp; ""(;|$)""))))
"),"Brea McQueen, Katie Gibson")</f>
        <v>Brea McQueen, Katie Gibson</v>
      </c>
    </row>
    <row r="94">
      <c r="A94" s="10" t="str">
        <f>IFERROR(__xludf.DUMMYFUNCTION("""COMPUTED_VALUE"""),"law")</f>
        <v>law</v>
      </c>
      <c r="B94" s="10" t="str">
        <f>IFERROR(__xludf.DUMMYFUNCTION("IF(ISBLANK(A94),"""",TEXTJOIN("", "", TRUE, FILTER('Primo by Librarian'!C:C, REGEXMATCH('Primo by Librarian'!D:D, ""(?i)(^|;)"" &amp; A94 &amp; ""(;|$)""))))
"),"Jenny Presnell, Mark Shores")</f>
        <v>Jenny Presnell, Mark Shores</v>
      </c>
    </row>
    <row r="95">
      <c r="A95" s="10" t="str">
        <f>IFERROR(__xludf.DUMMYFUNCTION("""COMPUTED_VALUE"""),"legal studies")</f>
        <v>legal studies</v>
      </c>
      <c r="B95" s="10" t="str">
        <f>IFERROR(__xludf.DUMMYFUNCTION("IF(ISBLANK(A95),"""",TEXTJOIN("", "", TRUE, FILTER('Primo by Librarian'!C:C, REGEXMATCH('Primo by Librarian'!D:D, ""(?i)(^|;)"" &amp; A95 &amp; ""(;|$)""))))
"),"Jenny Presnell")</f>
        <v>Jenny Presnell</v>
      </c>
    </row>
    <row r="96">
      <c r="A96" s="10" t="str">
        <f>IFERROR(__xludf.DUMMYFUNCTION("""COMPUTED_VALUE"""),"liberal studies")</f>
        <v>liberal studies</v>
      </c>
      <c r="B96" s="10" t="str">
        <f>IFERROR(__xludf.DUMMYFUNCTION("IF(ISBLANK(A96),"""",TEXTJOIN("", "", TRUE, FILTER('Primo by Librarian'!C:C, REGEXMATCH('Primo by Librarian'!D:D, ""(?i)(^|;)"" &amp; A96 &amp; ""(;|$)""))))
"),"Krista McDonald")</f>
        <v>Krista McDonald</v>
      </c>
    </row>
    <row r="97">
      <c r="A97" s="10" t="str">
        <f>IFERROR(__xludf.DUMMYFUNCTION("""COMPUTED_VALUE"""),"library science")</f>
        <v>library science</v>
      </c>
      <c r="B97" s="10" t="str">
        <f>IFERROR(__xludf.DUMMYFUNCTION("IF(ISBLANK(A97),"""",TEXTJOIN("", "", TRUE, FILTER('Primo by Librarian'!C:C, REGEXMATCH('Primo by Librarian'!D:D, ""(?i)(^|;)"" &amp; A97 &amp; ""(;|$)""))))
"),"Krista McDonald")</f>
        <v>Krista McDonald</v>
      </c>
    </row>
    <row r="98">
      <c r="A98" s="10" t="str">
        <f>IFERROR(__xludf.DUMMYFUNCTION("""COMPUTED_VALUE"""),"life sciences")</f>
        <v>life sciences</v>
      </c>
      <c r="B98" s="10" t="str">
        <f>IFERROR(__xludf.DUMMYFUNCTION("IF(ISBLANK(A98),"""",TEXTJOIN("", "", TRUE, FILTER('Primo by Librarian'!C:C, REGEXMATCH('Primo by Librarian'!D:D, ""(?i)(^|;)"" &amp; A98 &amp; ""(;|$)""))))
"),"Krista McDonald")</f>
        <v>Krista McDonald</v>
      </c>
    </row>
    <row r="99">
      <c r="A99" s="10" t="str">
        <f>IFERROR(__xludf.DUMMYFUNCTION("""COMPUTED_VALUE"""),"literature")</f>
        <v>literature</v>
      </c>
      <c r="B99" s="10" t="str">
        <f>IFERROR(__xludf.DUMMYFUNCTION("IF(ISBLANK(A99),"""",TEXTJOIN("", "", TRUE, FILTER('Primo by Librarian'!C:C, REGEXMATCH('Primo by Librarian'!D:D, ""(?i)(^|;)"" &amp; A99 &amp; ""(;|$)""))))
"),"Brea McQueen")</f>
        <v>Brea McQueen</v>
      </c>
    </row>
    <row r="100">
      <c r="A100" s="10" t="str">
        <f>IFERROR(__xludf.DUMMYFUNCTION("""COMPUTED_VALUE"""),"makerspace")</f>
        <v>makerspace</v>
      </c>
      <c r="B100" s="10" t="str">
        <f>IFERROR(__xludf.DUMMYFUNCTION("IF(ISBLANK(A100),"""",TEXTJOIN("", "", TRUE, FILTER('Primo by Librarian'!C:C, REGEXMATCH('Primo by Librarian'!D:D, ""(?i)(^|;)"" &amp; A100 &amp; ""(;|$)""))))
"),"Sarah Nagle")</f>
        <v>Sarah Nagle</v>
      </c>
    </row>
    <row r="101">
      <c r="A101" s="10" t="str">
        <f>IFERROR(__xludf.DUMMYFUNCTION("""COMPUTED_VALUE"""),"management")</f>
        <v>management</v>
      </c>
      <c r="B101" s="10" t="str">
        <f>IFERROR(__xludf.DUMMYFUNCTION("IF(ISBLANK(A101),"""",TEXTJOIN("", "", TRUE, FILTER('Primo by Librarian'!C:C, REGEXMATCH('Primo by Librarian'!D:D, ""(?i)(^|;)"" &amp; A101 &amp; ""(;|$)""))))
"),"Abigail Morgan, Mark Shores")</f>
        <v>Abigail Morgan, Mark Shores</v>
      </c>
    </row>
    <row r="102">
      <c r="A102" s="10" t="str">
        <f>IFERROR(__xludf.DUMMYFUNCTION("""COMPUTED_VALUE"""),"manufacturing engineering")</f>
        <v>manufacturing engineering</v>
      </c>
      <c r="B102" s="10" t="str">
        <f>IFERROR(__xludf.DUMMYFUNCTION("IF(ISBLANK(A102),"""",TEXTJOIN("", "", TRUE, FILTER('Primo by Librarian'!C:C, REGEXMATCH('Primo by Librarian'!D:D, ""(?i)(^|;)"" &amp; A102 &amp; ""(;|$)""))))
"),"Kristen Adams")</f>
        <v>Kristen Adams</v>
      </c>
    </row>
    <row r="103">
      <c r="A103" s="10" t="str">
        <f>IFERROR(__xludf.DUMMYFUNCTION("""COMPUTED_VALUE"""),"marketing")</f>
        <v>marketing</v>
      </c>
      <c r="B103" s="10" t="str">
        <f>IFERROR(__xludf.DUMMYFUNCTION("IF(ISBLANK(A103),"""",TEXTJOIN("", "", TRUE, FILTER('Primo by Librarian'!C:C, REGEXMATCH('Primo by Librarian'!D:D, ""(?i)(^|;)"" &amp; A103 &amp; ""(;|$)""))))
"),"Abigail Morgan, Mark Shores")</f>
        <v>Abigail Morgan, Mark Shores</v>
      </c>
    </row>
    <row r="104">
      <c r="A104" s="10" t="str">
        <f>IFERROR(__xludf.DUMMYFUNCTION("""COMPUTED_VALUE"""),"mathematics")</f>
        <v>mathematics</v>
      </c>
      <c r="B104" s="10" t="str">
        <f>IFERROR(__xludf.DUMMYFUNCTION("IF(ISBLANK(A104),"""",TEXTJOIN("", "", TRUE, FILTER('Primo by Librarian'!C:C, REGEXMATCH('Primo by Librarian'!D:D, ""(?i)(^|;)"" &amp; A104 &amp; ""(;|$)""))))
"),"Krista McDonald, Roger Justus")</f>
        <v>Krista McDonald, Roger Justus</v>
      </c>
    </row>
    <row r="105">
      <c r="A105" s="10" t="str">
        <f>IFERROR(__xludf.DUMMYFUNCTION("""COMPUTED_VALUE"""),"mechanical engineering")</f>
        <v>mechanical engineering</v>
      </c>
      <c r="B105" s="10" t="str">
        <f>IFERROR(__xludf.DUMMYFUNCTION("IF(ISBLANK(A105),"""",TEXTJOIN("", "", TRUE, FILTER('Primo by Librarian'!C:C, REGEXMATCH('Primo by Librarian'!D:D, ""(?i)(^|;)"" &amp; A105 &amp; ""(;|$)""))))
"),"Kristen Adams")</f>
        <v>Kristen Adams</v>
      </c>
    </row>
    <row r="106">
      <c r="A106" s="10" t="str">
        <f>IFERROR(__xludf.DUMMYFUNCTION("""COMPUTED_VALUE"""),"media")</f>
        <v>media</v>
      </c>
      <c r="B106" s="10" t="str">
        <f>IFERROR(__xludf.DUMMYFUNCTION("IF(ISBLANK(A106),"""",TEXTJOIN("", "", TRUE, FILTER('Primo by Librarian'!C:C, REGEXMATCH('Primo by Librarian'!D:D, ""(?i)(^|;)"" &amp; A106 &amp; ""(;|$)""))))
"),"Mark Dahlquist")</f>
        <v>Mark Dahlquist</v>
      </c>
    </row>
    <row r="107">
      <c r="A107" s="10" t="str">
        <f>IFERROR(__xludf.DUMMYFUNCTION("""COMPUTED_VALUE"""),"medicine")</f>
        <v>medicine</v>
      </c>
      <c r="B107" s="10" t="str">
        <f>IFERROR(__xludf.DUMMYFUNCTION("IF(ISBLANK(A107),"""",TEXTJOIN("", "", TRUE, FILTER('Primo by Librarian'!C:C, REGEXMATCH('Primo by Librarian'!D:D, ""(?i)(^|;)"" &amp; A107 &amp; ""(;|$)""))))
"),"Megan Jaskowiak")</f>
        <v>Megan Jaskowiak</v>
      </c>
    </row>
    <row r="108">
      <c r="A108" s="10" t="str">
        <f>IFERROR(__xludf.DUMMYFUNCTION("""COMPUTED_VALUE"""),"microbiology")</f>
        <v>microbiology</v>
      </c>
      <c r="B108" s="10" t="str">
        <f>IFERROR(__xludf.DUMMYFUNCTION("IF(ISBLANK(A108),"""",TEXTJOIN("", "", TRUE, FILTER('Primo by Librarian'!C:C, REGEXMATCH('Primo by Librarian'!D:D, ""(?i)(^|;)"" &amp; A108 &amp; ""(;|$)""))))
"),"Ginny Boehme")</f>
        <v>Ginny Boehme</v>
      </c>
    </row>
    <row r="109">
      <c r="A109" s="10" t="str">
        <f>IFERROR(__xludf.DUMMYFUNCTION("""COMPUTED_VALUE"""),"middle eastern studies")</f>
        <v>middle eastern studies</v>
      </c>
      <c r="B109" s="10" t="str">
        <f>IFERROR(__xludf.DUMMYFUNCTION("IF(ISBLANK(A109),"""",TEXTJOIN("", "", TRUE, FILTER('Primo by Librarian'!C:C, REGEXMATCH('Primo by Librarian'!D:D, ""(?i)(^|;)"" &amp; A109 &amp; ""(;|$)""))))
"),"Katie Gibson")</f>
        <v>Katie Gibson</v>
      </c>
    </row>
    <row r="110">
      <c r="A110" s="10" t="str">
        <f>IFERROR(__xludf.DUMMYFUNCTION("""COMPUTED_VALUE"""),"middletown library")</f>
        <v>middletown library</v>
      </c>
      <c r="B110" s="10" t="str">
        <f>IFERROR(__xludf.DUMMYFUNCTION("IF(ISBLANK(A110),"""",TEXTJOIN("", "", TRUE, FILTER('Primo by Librarian'!C:C, REGEXMATCH('Primo by Librarian'!D:D, ""(?i)(^|;)"" &amp; A110 &amp; ""(;|$)""))))
"),"John Burke")</f>
        <v>John Burke</v>
      </c>
    </row>
    <row r="111">
      <c r="A111" s="10" t="str">
        <f>IFERROR(__xludf.DUMMYFUNCTION("""COMPUTED_VALUE"""),"military studies")</f>
        <v>military studies</v>
      </c>
      <c r="B111" s="10" t="str">
        <f>IFERROR(__xludf.DUMMYFUNCTION("IF(ISBLANK(A111),"""",TEXTJOIN("", "", TRUE, FILTER('Primo by Librarian'!C:C, REGEXMATCH('Primo by Librarian'!D:D, ""(?i)(^|;)"" &amp; A111 &amp; ""(;|$)""))))
"),"Laura Birkenhauer")</f>
        <v>Laura Birkenhauer</v>
      </c>
    </row>
    <row r="112">
      <c r="A112" s="10" t="str">
        <f>IFERROR(__xludf.DUMMYFUNCTION("""COMPUTED_VALUE"""),"music")</f>
        <v>music</v>
      </c>
      <c r="B112" s="10" t="str">
        <f>IFERROR(__xludf.DUMMYFUNCTION("IF(ISBLANK(A112),"""",TEXTJOIN("", "", TRUE, FILTER('Primo by Librarian'!C:C, REGEXMATCH('Primo by Librarian'!D:D, ""(?i)(^|;)"" &amp; A112 &amp; ""(;|$)""))))
"),"Barry Zaslow, Brea McQueen")</f>
        <v>Barry Zaslow, Brea McQueen</v>
      </c>
    </row>
    <row r="113">
      <c r="A113" s="10" t="str">
        <f>IFERROR(__xludf.DUMMYFUNCTION("""COMPUTED_VALUE"""),"neuroscience")</f>
        <v>neuroscience</v>
      </c>
      <c r="B113" s="10" t="str">
        <f>IFERROR(__xludf.DUMMYFUNCTION("IF(ISBLANK(A113),"""",TEXTJOIN("", "", TRUE, FILTER('Primo by Librarian'!C:C, REGEXMATCH('Primo by Librarian'!D:D, ""(?i)(^|;)"" &amp; A113 &amp; ""(;|$)""))))
"),"Ginny Boehme")</f>
        <v>Ginny Boehme</v>
      </c>
    </row>
    <row r="114">
      <c r="A114" s="10" t="str">
        <f>IFERROR(__xludf.DUMMYFUNCTION("""COMPUTED_VALUE"""),"nonprofit and community studies")</f>
        <v>nonprofit and community studies</v>
      </c>
      <c r="B114" s="10" t="str">
        <f>IFERROR(__xludf.DUMMYFUNCTION("IF(ISBLANK(A114),"""",TEXTJOIN("", "", TRUE, FILTER('Primo by Librarian'!C:C, REGEXMATCH('Primo by Librarian'!D:D, ""(?i)(^|;)"" &amp; A114 &amp; ""(;|$)""))))
"),"Krista McDonald")</f>
        <v>Krista McDonald</v>
      </c>
    </row>
    <row r="115">
      <c r="A115" s="10" t="str">
        <f>IFERROR(__xludf.DUMMYFUNCTION("""COMPUTED_VALUE"""),"nursing")</f>
        <v>nursing</v>
      </c>
      <c r="B115" s="10" t="str">
        <f>IFERROR(__xludf.DUMMYFUNCTION("IF(ISBLANK(A115),"""",TEXTJOIN("", "", TRUE, FILTER('Primo by Librarian'!C:C, REGEXMATCH('Primo by Librarian'!D:D, ""(?i)(^|;)"" &amp; A115 &amp; ""(;|$)""))))
"),"Ginny Boehme, Krista McDonald")</f>
        <v>Ginny Boehme, Krista McDonald</v>
      </c>
    </row>
    <row r="116">
      <c r="A116" s="10" t="str">
        <f>IFERROR(__xludf.DUMMYFUNCTION("""COMPUTED_VALUE"""),"paper engineering")</f>
        <v>paper engineering</v>
      </c>
      <c r="B116" s="10" t="str">
        <f>IFERROR(__xludf.DUMMYFUNCTION("IF(ISBLANK(A116),"""",TEXTJOIN("", "", TRUE, FILTER('Primo by Librarian'!C:C, REGEXMATCH('Primo by Librarian'!D:D, ""(?i)(^|;)"" &amp; A116 &amp; ""(;|$)""))))
"),"Kristen Adams")</f>
        <v>Kristen Adams</v>
      </c>
    </row>
    <row r="117">
      <c r="A117" s="10" t="str">
        <f>IFERROR(__xludf.DUMMYFUNCTION("""COMPUTED_VALUE"""),"philosophy")</f>
        <v>philosophy</v>
      </c>
      <c r="B117" s="10" t="str">
        <f>IFERROR(__xludf.DUMMYFUNCTION("IF(ISBLANK(A117),"""",TEXTJOIN("", "", TRUE, FILTER('Primo by Librarian'!C:C, REGEXMATCH('Primo by Librarian'!D:D, ""(?i)(^|;)"" &amp; A117 &amp; ""(;|$)""))))
"),"Brea McQueen, Rob O'Brien Withers")</f>
        <v>Brea McQueen, Rob O'Brien Withers</v>
      </c>
    </row>
    <row r="118">
      <c r="A118" s="10" t="str">
        <f>IFERROR(__xludf.DUMMYFUNCTION("""COMPUTED_VALUE"""),"physical sciences")</f>
        <v>physical sciences</v>
      </c>
      <c r="B118" s="10" t="str">
        <f>IFERROR(__xludf.DUMMYFUNCTION("IF(ISBLANK(A118),"""",TEXTJOIN("", "", TRUE, FILTER('Primo by Librarian'!C:C, REGEXMATCH('Primo by Librarian'!D:D, ""(?i)(^|;)"" &amp; A118 &amp; ""(;|$)""))))
"),"Krista McDonald")</f>
        <v>Krista McDonald</v>
      </c>
    </row>
    <row r="119">
      <c r="A119" s="10" t="str">
        <f>IFERROR(__xludf.DUMMYFUNCTION("""COMPUTED_VALUE"""),"physician associate studies")</f>
        <v>physician associate studies</v>
      </c>
      <c r="B119" s="10" t="str">
        <f>IFERROR(__xludf.DUMMYFUNCTION("IF(ISBLANK(A119),"""",TEXTJOIN("", "", TRUE, FILTER('Primo by Librarian'!C:C, REGEXMATCH('Primo by Librarian'!D:D, ""(?i)(^|;)"" &amp; A119 &amp; ""(;|$)""))))
"),"Megan Jaskowiak")</f>
        <v>Megan Jaskowiak</v>
      </c>
    </row>
    <row r="120">
      <c r="A120" s="10" t="str">
        <f>IFERROR(__xludf.DUMMYFUNCTION("""COMPUTED_VALUE"""),"physics")</f>
        <v>physics</v>
      </c>
      <c r="B120" s="10" t="str">
        <f>IFERROR(__xludf.DUMMYFUNCTION("IF(ISBLANK(A120),"""",TEXTJOIN("", "", TRUE, FILTER('Primo by Librarian'!C:C, REGEXMATCH('Primo by Librarian'!D:D, ""(?i)(^|;)"" &amp; A120 &amp; ""(;|$)""))))
"),"Kristen Adams")</f>
        <v>Kristen Adams</v>
      </c>
    </row>
    <row r="121">
      <c r="A121" s="10" t="str">
        <f>IFERROR(__xludf.DUMMYFUNCTION("""COMPUTED_VALUE"""),"political science")</f>
        <v>political science</v>
      </c>
      <c r="B121" s="10" t="str">
        <f>IFERROR(__xludf.DUMMYFUNCTION("IF(ISBLANK(A121),"""",TEXTJOIN("", "", TRUE, FILTER('Primo by Librarian'!C:C, REGEXMATCH('Primo by Librarian'!D:D, ""(?i)(^|;)"" &amp; A121 &amp; ""(;|$)""))))
"),"Jenny Presnell, Mark Shores")</f>
        <v>Jenny Presnell, Mark Shores</v>
      </c>
    </row>
    <row r="122">
      <c r="A122" s="10" t="str">
        <f>IFERROR(__xludf.DUMMYFUNCTION("""COMPUTED_VALUE"""),"portuguese")</f>
        <v>portuguese</v>
      </c>
      <c r="B122" s="10" t="str">
        <f>IFERROR(__xludf.DUMMYFUNCTION("IF(ISBLANK(A122),"""",TEXTJOIN("", "", TRUE, FILTER('Primo by Librarian'!C:C, REGEXMATCH('Primo by Librarian'!D:D, ""(?i)(^|;)"" &amp; A122 &amp; ""(;|$)""))))
"),"Katie Gibson")</f>
        <v>Katie Gibson</v>
      </c>
    </row>
    <row r="123">
      <c r="A123" s="10" t="str">
        <f>IFERROR(__xludf.DUMMYFUNCTION("""COMPUTED_VALUE"""),"psychology")</f>
        <v>psychology</v>
      </c>
      <c r="B123" s="10" t="str">
        <f>IFERROR(__xludf.DUMMYFUNCTION("IF(ISBLANK(A123),"""",TEXTJOIN("", "", TRUE, FILTER('Primo by Librarian'!C:C, REGEXMATCH('Primo by Librarian'!D:D, ""(?i)(^|;)"" &amp; A123 &amp; ""(;|$)""))))
"),"Krista McDonald, Megan Jaskowiak")</f>
        <v>Krista McDonald, Megan Jaskowiak</v>
      </c>
    </row>
    <row r="124">
      <c r="A124" s="10" t="str">
        <f>IFERROR(__xludf.DUMMYFUNCTION("""COMPUTED_VALUE"""),"recreation")</f>
        <v>recreation</v>
      </c>
      <c r="B124" s="10" t="str">
        <f>IFERROR(__xludf.DUMMYFUNCTION("IF(ISBLANK(A124),"""",TEXTJOIN("", "", TRUE, FILTER('Primo by Librarian'!C:C, REGEXMATCH('Primo by Librarian'!D:D, ""(?i)(^|;)"" &amp; A124 &amp; ""(;|$)""))))
"),"Krista McDonald")</f>
        <v>Krista McDonald</v>
      </c>
    </row>
    <row r="125">
      <c r="A125" s="10" t="str">
        <f>IFERROR(__xludf.DUMMYFUNCTION("""COMPUTED_VALUE"""),"religion")</f>
        <v>religion</v>
      </c>
      <c r="B125" s="10" t="str">
        <f>IFERROR(__xludf.DUMMYFUNCTION("IF(ISBLANK(A125),"""",TEXTJOIN("", "", TRUE, FILTER('Primo by Librarian'!C:C, REGEXMATCH('Primo by Librarian'!D:D, ""(?i)(^|;)"" &amp; A125 &amp; ""(;|$)""))))
"),"Brea McQueen, Rob O'Brien Withers")</f>
        <v>Brea McQueen, Rob O'Brien Withers</v>
      </c>
    </row>
    <row r="126">
      <c r="A126" s="10" t="str">
        <f>IFERROR(__xludf.DUMMYFUNCTION("""COMPUTED_VALUE"""),"religious studies")</f>
        <v>religious studies</v>
      </c>
      <c r="B126" s="10" t="str">
        <f>IFERROR(__xludf.DUMMYFUNCTION("IF(ISBLANK(A126),"""",TEXTJOIN("", "", TRUE, FILTER('Primo by Librarian'!C:C, REGEXMATCH('Primo by Librarian'!D:D, ""(?i)(^|;)"" &amp; A126 &amp; ""(;|$)""))))
"),"Rob O'Brien Withers")</f>
        <v>Rob O'Brien Withers</v>
      </c>
    </row>
    <row r="127">
      <c r="A127" s="10" t="str">
        <f>IFERROR(__xludf.DUMMYFUNCTION("""COMPUTED_VALUE"""),"rhetoric")</f>
        <v>rhetoric</v>
      </c>
      <c r="B127" s="10" t="str">
        <f>IFERROR(__xludf.DUMMYFUNCTION("IF(ISBLANK(A127),"""",TEXTJOIN("", "", TRUE, FILTER('Primo by Librarian'!C:C, REGEXMATCH('Primo by Librarian'!D:D, ""(?i)(^|;)"" &amp; A127 &amp; ""(;|$)""))))
"),"Mark Dahlquist")</f>
        <v>Mark Dahlquist</v>
      </c>
    </row>
    <row r="128">
      <c r="A128" s="10" t="str">
        <f>IFERROR(__xludf.DUMMYFUNCTION("""COMPUTED_VALUE"""),"sexuality studies")</f>
        <v>sexuality studies</v>
      </c>
      <c r="B128" s="10" t="str">
        <f>IFERROR(__xludf.DUMMYFUNCTION("IF(ISBLANK(A128),"""",TEXTJOIN("", "", TRUE, FILTER('Primo by Librarian'!C:C, REGEXMATCH('Primo by Librarian'!D:D, ""(?i)(^|;)"" &amp; A128 &amp; ""(;|$)""))))
"),"Jenny Presnell")</f>
        <v>Jenny Presnell</v>
      </c>
    </row>
    <row r="129">
      <c r="A129" s="10" t="str">
        <f>IFERROR(__xludf.DUMMYFUNCTION("""COMPUTED_VALUE"""),"social work")</f>
        <v>social work</v>
      </c>
      <c r="B129" s="10" t="str">
        <f>IFERROR(__xludf.DUMMYFUNCTION("IF(ISBLANK(A129),"""",TEXTJOIN("", "", TRUE, FILTER('Primo by Librarian'!C:C, REGEXMATCH('Primo by Librarian'!D:D, ""(?i)(^|;)"" &amp; A129 &amp; ""(;|$)""))))
"),"Brea McQueen")</f>
        <v>Brea McQueen</v>
      </c>
    </row>
    <row r="130">
      <c r="A130" s="10" t="str">
        <f>IFERROR(__xludf.DUMMYFUNCTION("""COMPUTED_VALUE"""),"sociology")</f>
        <v>sociology</v>
      </c>
      <c r="B130" s="10" t="str">
        <f>IFERROR(__xludf.DUMMYFUNCTION("IF(ISBLANK(A130),"""",TEXTJOIN("", "", TRUE, FILTER('Primo by Librarian'!C:C, REGEXMATCH('Primo by Librarian'!D:D, ""(?i)(^|;)"" &amp; A130 &amp; ""(;|$)""))))
"),"Krista McDonald, Megan Jaskowiak")</f>
        <v>Krista McDonald, Megan Jaskowiak</v>
      </c>
    </row>
    <row r="131">
      <c r="A131" s="10" t="str">
        <f>IFERROR(__xludf.DUMMYFUNCTION("""COMPUTED_VALUE"""),"software engineering")</f>
        <v>software engineering</v>
      </c>
      <c r="B131" s="10" t="str">
        <f>IFERROR(__xludf.DUMMYFUNCTION("IF(ISBLANK(A131),"""",TEXTJOIN("", "", TRUE, FILTER('Primo by Librarian'!C:C, REGEXMATCH('Primo by Librarian'!D:D, ""(?i)(^|;)"" &amp; A131 &amp; ""(;|$)""))))
"),"Roger Justus")</f>
        <v>Roger Justus</v>
      </c>
    </row>
    <row r="132">
      <c r="A132" s="10" t="str">
        <f>IFERROR(__xludf.DUMMYFUNCTION("""COMPUTED_VALUE"""),"spanish")</f>
        <v>spanish</v>
      </c>
      <c r="B132" s="10" t="str">
        <f>IFERROR(__xludf.DUMMYFUNCTION("IF(ISBLANK(A132),"""",TEXTJOIN("", "", TRUE, FILTER('Primo by Librarian'!C:C, REGEXMATCH('Primo by Librarian'!D:D, ""(?i)(^|;)"" &amp; A132 &amp; ""(;|$)""))))
"),"Katie Gibson")</f>
        <v>Katie Gibson</v>
      </c>
    </row>
    <row r="133">
      <c r="A133" s="10" t="str">
        <f>IFERROR(__xludf.DUMMYFUNCTION("""COMPUTED_VALUE"""),"special collections")</f>
        <v>special collections</v>
      </c>
      <c r="B133" s="10" t="str">
        <f>IFERROR(__xludf.DUMMYFUNCTION("IF(ISBLANK(A133),"""",TEXTJOIN("", "", TRUE, FILTER('Primo by Librarian'!C:C, REGEXMATCH('Primo by Librarian'!D:D, ""(?i)(^|;)"" &amp; A133 &amp; ""(;|$)""))))
"),"Alia Wegner")</f>
        <v>Alia Wegner</v>
      </c>
    </row>
    <row r="134">
      <c r="A134" s="10" t="str">
        <f>IFERROR(__xludf.DUMMYFUNCTION("""COMPUTED_VALUE"""),"speech pathology")</f>
        <v>speech pathology</v>
      </c>
      <c r="B134" s="10" t="str">
        <f>IFERROR(__xludf.DUMMYFUNCTION("IF(ISBLANK(A134),"""",TEXTJOIN("", "", TRUE, FILTER('Primo by Librarian'!C:C, REGEXMATCH('Primo by Librarian'!D:D, ""(?i)(^|;)"" &amp; A134 &amp; ""(;|$)""))))
"),"Megan Jaskowiak")</f>
        <v>Megan Jaskowiak</v>
      </c>
    </row>
    <row r="135">
      <c r="A135" s="10" t="str">
        <f>IFERROR(__xludf.DUMMYFUNCTION("""COMPUTED_VALUE"""),"sports leadership")</f>
        <v>sports leadership</v>
      </c>
      <c r="B135" s="10" t="str">
        <f>IFERROR(__xludf.DUMMYFUNCTION("IF(ISBLANK(A135),"""",TEXTJOIN("", "", TRUE, FILTER('Primo by Librarian'!C:C, REGEXMATCH('Primo by Librarian'!D:D, ""(?i)(^|;)"" &amp; A135 &amp; ""(;|$)""))))
"),"Andy Revelle, Nate Floyd")</f>
        <v>Andy Revelle, Nate Floyd</v>
      </c>
    </row>
    <row r="136">
      <c r="A136" s="10" t="str">
        <f>IFERROR(__xludf.DUMMYFUNCTION("""COMPUTED_VALUE"""),"sports management")</f>
        <v>sports management</v>
      </c>
      <c r="B136" s="10" t="str">
        <f>IFERROR(__xludf.DUMMYFUNCTION("IF(ISBLANK(A136),"""",TEXTJOIN("", "", TRUE, FILTER('Primo by Librarian'!C:C, REGEXMATCH('Primo by Librarian'!D:D, ""(?i)(^|;)"" &amp; A136 &amp; ""(;|$)""))))
"),"Andy Revelle, Nate Floyd")</f>
        <v>Andy Revelle, Nate Floyd</v>
      </c>
    </row>
    <row r="137">
      <c r="A137" s="10" t="str">
        <f>IFERROR(__xludf.DUMMYFUNCTION("""COMPUTED_VALUE"""),"statistics")</f>
        <v>statistics</v>
      </c>
      <c r="B137" s="10" t="str">
        <f>IFERROR(__xludf.DUMMYFUNCTION("IF(ISBLANK(A137),"""",TEXTJOIN("", "", TRUE, FILTER('Primo by Librarian'!C:C, REGEXMATCH('Primo by Librarian'!D:D, ""(?i)(^|;)"" &amp; A137 &amp; ""(;|$)""))))
"),"Roger Justus")</f>
        <v>Roger Justus</v>
      </c>
    </row>
    <row r="138">
      <c r="A138" s="10" t="str">
        <f>IFERROR(__xludf.DUMMYFUNCTION("""COMPUTED_VALUE"""),"teacher education")</f>
        <v>teacher education</v>
      </c>
      <c r="B138" s="10" t="str">
        <f>IFERROR(__xludf.DUMMYFUNCTION("IF(ISBLANK(A138),"""",TEXTJOIN("", "", TRUE, FILTER('Primo by Librarian'!C:C, REGEXMATCH('Primo by Librarian'!D:D, ""(?i)(^|;)"" &amp; A138 &amp; ""(;|$)""))))
"),"Abigail Morgan")</f>
        <v>Abigail Morgan</v>
      </c>
    </row>
    <row r="139">
      <c r="A139" s="10" t="str">
        <f>IFERROR(__xludf.DUMMYFUNCTION("""COMPUTED_VALUE"""),"theater")</f>
        <v>theater</v>
      </c>
      <c r="B139" s="10" t="str">
        <f>IFERROR(__xludf.DUMMYFUNCTION("IF(ISBLANK(A139),"""",TEXTJOIN("", "", TRUE, FILTER('Primo by Librarian'!C:C, REGEXMATCH('Primo by Librarian'!D:D, ""(?i)(^|;)"" &amp; A139 &amp; ""(;|$)""))))
"),"Brea McQueen, Stefanie Hilles")</f>
        <v>Brea McQueen, Stefanie Hilles</v>
      </c>
    </row>
    <row r="140">
      <c r="A140" s="10" t="str">
        <f>IFERROR(__xludf.DUMMYFUNCTION("""COMPUTED_VALUE"""),"visual arts")</f>
        <v>visual arts</v>
      </c>
      <c r="B140" s="10" t="str">
        <f>IFERROR(__xludf.DUMMYFUNCTION("IF(ISBLANK(A140),"""",TEXTJOIN("", "", TRUE, FILTER('Primo by Librarian'!C:C, REGEXMATCH('Primo by Librarian'!D:D, ""(?i)(^|;)"" &amp; A140 &amp; ""(;|$)""))))
"),"Krista McDonald")</f>
        <v>Krista McDonald</v>
      </c>
    </row>
    <row r="141">
      <c r="A141" s="10" t="str">
        <f>IFERROR(__xludf.DUMMYFUNCTION("""COMPUTED_VALUE"""),"western program")</f>
        <v>western program</v>
      </c>
      <c r="B141" s="10" t="str">
        <f>IFERROR(__xludf.DUMMYFUNCTION("IF(ISBLANK(A141),"""",TEXTJOIN("", "", TRUE, FILTER('Primo by Librarian'!C:C, REGEXMATCH('Primo by Librarian'!D:D, ""(?i)(^|;)"" &amp; A141 &amp; ""(;|$)""))))
"),"Katie Gibson")</f>
        <v>Katie Gibson</v>
      </c>
    </row>
    <row r="142">
      <c r="A142" s="10" t="str">
        <f>IFERROR(__xludf.DUMMYFUNCTION("""COMPUTED_VALUE"""),"women's studies")</f>
        <v>women's studies</v>
      </c>
      <c r="B142" s="10" t="str">
        <f>IFERROR(__xludf.DUMMYFUNCTION("IF(ISBLANK(A142),"""",TEXTJOIN("", "", TRUE, FILTER('Primo by Librarian'!C:C, REGEXMATCH('Primo by Librarian'!D:D, ""(?i)(^|;)"" &amp; A142 &amp; ""(;|$)""))))
"),"Jenny Presnell")</f>
        <v>Jenny Presnell</v>
      </c>
    </row>
    <row r="143">
      <c r="A143" s="10" t="str">
        <f>IFERROR(__xludf.DUMMYFUNCTION("""COMPUTED_VALUE"""),"women’s studies")</f>
        <v>women’s studies</v>
      </c>
      <c r="B143" s="10" t="str">
        <f>IFERROR(__xludf.DUMMYFUNCTION("IF(ISBLANK(A143),"""",TEXTJOIN("", "", TRUE, FILTER('Primo by Librarian'!C:C, REGEXMATCH('Primo by Librarian'!D:D, ""(?i)(^|;)"" &amp; A143 &amp; ""(;|$)""))))
"),"Brea McQueen")</f>
        <v>Brea McQueen</v>
      </c>
    </row>
  </sheetData>
  <drawing r:id="rId1"/>
</worksheet>
</file>